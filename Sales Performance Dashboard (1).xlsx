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hidePivotFieldList="1" defaultThemeVersion="124226"/>
  <mc:AlternateContent xmlns:mc="http://schemas.openxmlformats.org/markup-compatibility/2006">
    <mc:Choice Requires="x15">
      <x15ac:absPath xmlns:x15ac="http://schemas.microsoft.com/office/spreadsheetml/2010/11/ac" url="C:\Users\ADITI VARSHNEY\Downloads\"/>
    </mc:Choice>
  </mc:AlternateContent>
  <xr:revisionPtr revIDLastSave="0" documentId="13_ncr:1_{146AB4D6-EB44-4563-96DB-E82B40D4EA46}" xr6:coauthVersionLast="47" xr6:coauthVersionMax="47" xr10:uidLastSave="{00000000-0000-0000-0000-000000000000}"/>
  <bookViews>
    <workbookView xWindow="-120" yWindow="-120" windowWidth="29040" windowHeight="15720" activeTab="2" xr2:uid="{00000000-000D-0000-FFFF-FFFF00000000}"/>
  </bookViews>
  <sheets>
    <sheet name="Dataset" sheetId="1" r:id="rId1"/>
    <sheet name="Pivot_Sheet" sheetId="2" r:id="rId2"/>
    <sheet name="Dashboard" sheetId="5" r:id="rId3"/>
  </sheets>
  <definedNames>
    <definedName name="my_pvt">OFFSET(Dataset!XFA1048552,0,0,COUNT(Dataset!$A:$A),COUNT(Dataset!$1:$1))</definedName>
    <definedName name="Slicer_City">#N/A</definedName>
    <definedName name="Slicer_Months__month">#N/A</definedName>
    <definedName name="Slicer_Product">#N/A</definedName>
  </definedNames>
  <calcPr calcId="191029"/>
  <pivotCaches>
    <pivotCache cacheId="3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2" i="1"/>
  <c r="C7" i="5"/>
  <c r="M7" i="5"/>
  <c r="J7" i="5"/>
  <c r="F7" i="5"/>
</calcChain>
</file>

<file path=xl/sharedStrings.xml><?xml version="1.0" encoding="utf-8"?>
<sst xmlns="http://schemas.openxmlformats.org/spreadsheetml/2006/main" count="547" uniqueCount="129">
  <si>
    <t>Order_ID</t>
  </si>
  <si>
    <t>Date</t>
  </si>
  <si>
    <t>City</t>
  </si>
  <si>
    <t>Product</t>
  </si>
  <si>
    <t>Category</t>
  </si>
  <si>
    <t>Quantity</t>
  </si>
  <si>
    <t>Unit_Price</t>
  </si>
  <si>
    <t>Total_Sales</t>
  </si>
  <si>
    <t>2025-03-12</t>
  </si>
  <si>
    <t>2025-01-27</t>
  </si>
  <si>
    <t>2025-01-09</t>
  </si>
  <si>
    <t>2025-05-10</t>
  </si>
  <si>
    <t>2025-06-16</t>
  </si>
  <si>
    <t>2025-05-31</t>
  </si>
  <si>
    <t>2025-04-19</t>
  </si>
  <si>
    <t>2025-03-28</t>
  </si>
  <si>
    <t>2025-04-02</t>
  </si>
  <si>
    <t>2025-01-12</t>
  </si>
  <si>
    <t>2025-04-07</t>
  </si>
  <si>
    <t>2025-04-03</t>
  </si>
  <si>
    <t>2025-06-19</t>
  </si>
  <si>
    <t>2025-03-01</t>
  </si>
  <si>
    <t>2025-04-27</t>
  </si>
  <si>
    <t>2025-04-01</t>
  </si>
  <si>
    <t>2025-06-12</t>
  </si>
  <si>
    <t>2025-04-08</t>
  </si>
  <si>
    <t>2025-01-15</t>
  </si>
  <si>
    <t>2025-03-10</t>
  </si>
  <si>
    <t>2025-03-22</t>
  </si>
  <si>
    <t>2025-06-14</t>
  </si>
  <si>
    <t>2025-03-05</t>
  </si>
  <si>
    <t>2025-05-30</t>
  </si>
  <si>
    <t>2025-05-11</t>
  </si>
  <si>
    <t>2025-01-29</t>
  </si>
  <si>
    <t>2025-01-17</t>
  </si>
  <si>
    <t>2025-05-16</t>
  </si>
  <si>
    <t>2025-05-18</t>
  </si>
  <si>
    <t>2025-03-17</t>
  </si>
  <si>
    <t>2025-03-09</t>
  </si>
  <si>
    <t>2025-06-10</t>
  </si>
  <si>
    <t>2025-02-11</t>
  </si>
  <si>
    <t>2025-05-06</t>
  </si>
  <si>
    <t>2025-03-20</t>
  </si>
  <si>
    <t>2025-05-26</t>
  </si>
  <si>
    <t>2025-01-18</t>
  </si>
  <si>
    <t>2025-05-02</t>
  </si>
  <si>
    <t>2025-06-05</t>
  </si>
  <si>
    <t>2025-06-26</t>
  </si>
  <si>
    <t>2025-01-31</t>
  </si>
  <si>
    <t>2025-01-06</t>
  </si>
  <si>
    <t>2025-01-02</t>
  </si>
  <si>
    <t>2025-03-02</t>
  </si>
  <si>
    <t>2025-02-03</t>
  </si>
  <si>
    <t>2025-01-25</t>
  </si>
  <si>
    <t>2025-04-16</t>
  </si>
  <si>
    <t>2025-04-14</t>
  </si>
  <si>
    <t>2025-02-19</t>
  </si>
  <si>
    <t>2025-02-16</t>
  </si>
  <si>
    <t>2025-01-20</t>
  </si>
  <si>
    <t>2025-05-19</t>
  </si>
  <si>
    <t>2025-02-24</t>
  </si>
  <si>
    <t>2025-05-05</t>
  </si>
  <si>
    <t>2025-01-13</t>
  </si>
  <si>
    <t>2025-02-17</t>
  </si>
  <si>
    <t>2025-01-11</t>
  </si>
  <si>
    <t>2025-06-21</t>
  </si>
  <si>
    <t>2025-04-12</t>
  </si>
  <si>
    <t>2025-01-19</t>
  </si>
  <si>
    <t>2025-01-26</t>
  </si>
  <si>
    <t>2025-03-14</t>
  </si>
  <si>
    <t>2025-03-19</t>
  </si>
  <si>
    <t>2025-01-28</t>
  </si>
  <si>
    <t>2025-06-04</t>
  </si>
  <si>
    <t>2025-03-06</t>
  </si>
  <si>
    <t>2025-03-27</t>
  </si>
  <si>
    <t>2025-04-24</t>
  </si>
  <si>
    <t>2025-04-05</t>
  </si>
  <si>
    <t>2025-05-24</t>
  </si>
  <si>
    <t>2025-02-09</t>
  </si>
  <si>
    <t>2025-06-29</t>
  </si>
  <si>
    <t>2025-05-01</t>
  </si>
  <si>
    <t>2025-06-18</t>
  </si>
  <si>
    <t>2025-03-08</t>
  </si>
  <si>
    <t>2025-06-02</t>
  </si>
  <si>
    <t>2025-05-28</t>
  </si>
  <si>
    <t>2025-04-22</t>
  </si>
  <si>
    <t>2025-03-21</t>
  </si>
  <si>
    <t>2025-06-28</t>
  </si>
  <si>
    <t>2025-06-20</t>
  </si>
  <si>
    <t>2025-02-23</t>
  </si>
  <si>
    <t>2025-02-13</t>
  </si>
  <si>
    <t>2025-02-20</t>
  </si>
  <si>
    <t>2025-06-11</t>
  </si>
  <si>
    <t>2025-04-13</t>
  </si>
  <si>
    <t>2025-04-29</t>
  </si>
  <si>
    <t>Mumbai</t>
  </si>
  <si>
    <t>Pune</t>
  </si>
  <si>
    <t>Delhi</t>
  </si>
  <si>
    <t>Chennai</t>
  </si>
  <si>
    <t>Bangalore</t>
  </si>
  <si>
    <t>Kolkata</t>
  </si>
  <si>
    <t>Hyderabad</t>
  </si>
  <si>
    <t>Mouse</t>
  </si>
  <si>
    <t>Monitor</t>
  </si>
  <si>
    <t>Laptop</t>
  </si>
  <si>
    <t>Printer</t>
  </si>
  <si>
    <t>Headphones</t>
  </si>
  <si>
    <t>Tablet</t>
  </si>
  <si>
    <t>Webcam</t>
  </si>
  <si>
    <t>Keyboard</t>
  </si>
  <si>
    <t>Accessories</t>
  </si>
  <si>
    <t>Electronics</t>
  </si>
  <si>
    <t>Grand Total</t>
  </si>
  <si>
    <t>Sum of Total_Sales</t>
  </si>
  <si>
    <t>Count of Order_ID</t>
  </si>
  <si>
    <t>month</t>
  </si>
  <si>
    <t>Jan</t>
  </si>
  <si>
    <t>Feb</t>
  </si>
  <si>
    <t>Mar</t>
  </si>
  <si>
    <t>Apr</t>
  </si>
  <si>
    <t>May</t>
  </si>
  <si>
    <t>Jun</t>
  </si>
  <si>
    <t>Total_order</t>
  </si>
  <si>
    <t>Totalsales</t>
  </si>
  <si>
    <t>Total  Quantity Sold</t>
  </si>
  <si>
    <t>Month</t>
  </si>
  <si>
    <t>Order</t>
  </si>
  <si>
    <t xml:space="preserve"> Total_Sales</t>
  </si>
  <si>
    <t>Average Order_value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</si>
</sst>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5" formatCode="[$-409]d/mmm/yy;@"/>
    <numFmt numFmtId="171" formatCode="0.0,,&quot;M&quot;"/>
  </numFmts>
  <fonts count="5" x14ac:knownFonts="1">
    <font>
      <sz val="11"/>
      <color theme="1"/>
      <name val="Calibri"/>
      <family val="2"/>
      <scheme val="minor"/>
    </font>
    <font>
      <b/>
      <sz val="11"/>
      <color theme="1"/>
      <name val="Calibri"/>
      <family val="2"/>
      <scheme val="minor"/>
    </font>
    <font>
      <sz val="20"/>
      <color theme="1"/>
      <name val="Calibri"/>
      <family val="2"/>
      <scheme val="minor"/>
    </font>
    <font>
      <sz val="26"/>
      <color theme="1"/>
      <name val="Calibri"/>
      <family val="2"/>
      <scheme val="minor"/>
    </font>
    <font>
      <sz val="2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2" fontId="0" fillId="0" borderId="0" xfId="0" applyNumberFormat="1"/>
    <xf numFmtId="0" fontId="3" fillId="0" borderId="0" xfId="0" applyFont="1"/>
    <xf numFmtId="0" fontId="4" fillId="0" borderId="0" xfId="0" applyFont="1"/>
    <xf numFmtId="171" fontId="0" fillId="0" borderId="0" xfId="0" applyNumberFormat="1"/>
    <xf numFmtId="171" fontId="2" fillId="0" borderId="0" xfId="0" applyNumberFormat="1" applyFont="1"/>
  </cellXfs>
  <cellStyles count="1">
    <cellStyle name="Normal" xfId="0" builtinId="0"/>
  </cellStyles>
  <dxfs count="112">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68" formatCode="_(* #,##0_);_(* \(#,##0\);_(* &quot;-&quot;??_);_(@_)"/>
    </dxf>
    <dxf>
      <numFmt numFmtId="171" formatCode="0.0,,&quot;M&quot;"/>
    </dxf>
    <dxf>
      <numFmt numFmtId="2" formatCode="0.00"/>
    </dxf>
    <dxf>
      <numFmt numFmtId="171" formatCode="0.0,,&quot;M&quot;"/>
    </dxf>
    <dxf>
      <numFmt numFmtId="2" formatCode="0.00"/>
    </dxf>
    <dxf>
      <numFmt numFmtId="168" formatCode="_(* #,##0_);_(* \(#,##0\);_(* &quot;-&quot;??_);_(@_)"/>
    </dxf>
    <dxf>
      <numFmt numFmtId="0" formatCode="Genera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1" defaultTableStyle="TableStyleMedium9" defaultPivotStyle="PivotStyleLight16">
    <tableStyle name="Slicer Style 1" pivot="0" table="0" count="0" xr9:uid="{4BF9C3E9-7B6B-4F0B-B599-C7F104ABFD6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Performance Dashboard.xlsx]Pivot_Sheet!PivotTable2</c:name>
    <c:fmtId val="18"/>
  </c:pivotSource>
  <c:chart>
    <c:title>
      <c:tx>
        <c:rich>
          <a:bodyPr rot="0" spcFirstLastPara="1" vertOverflow="ellipsis" vert="horz" wrap="square" anchor="ctr" anchorCtr="1"/>
          <a:lstStyle/>
          <a:p>
            <a:pPr>
              <a:defRPr lang="en-US" sz="2400" b="0" i="0" u="none" strike="noStrike" kern="1200" spc="0" baseline="0">
                <a:solidFill>
                  <a:schemeClr val="tx1"/>
                </a:solidFill>
                <a:latin typeface="+mn-lt"/>
                <a:ea typeface="+mn-ea"/>
                <a:cs typeface="+mn-cs"/>
              </a:defRPr>
            </a:pPr>
            <a:r>
              <a:rPr lang="en-US" sz="2400" b="1"/>
              <a:t>Total Sale By City </a:t>
            </a:r>
          </a:p>
        </c:rich>
      </c:tx>
      <c:overlay val="0"/>
      <c:spPr>
        <a:noFill/>
        <a:ln>
          <a:noFill/>
        </a:ln>
        <a:effectLst/>
      </c:spPr>
      <c:txPr>
        <a:bodyPr rot="0" spcFirstLastPara="1" vertOverflow="ellipsis" vert="horz" wrap="square" anchor="ctr" anchorCtr="1"/>
        <a:lstStyle/>
        <a:p>
          <a:pPr>
            <a:defRPr lang="en-US" sz="2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dLbl>
          <c:idx val="0"/>
          <c:spPr>
            <a:noFill/>
            <a:ln>
              <a:noFill/>
            </a:ln>
            <a:effectLst/>
          </c:spPr>
          <c:txPr>
            <a:bodyPr rot="0" spcFirstLastPara="1" vertOverflow="ellipsis" vert="horz" wrap="square" anchor="ctr" anchorCtr="1"/>
            <a:lstStyle/>
            <a:p>
              <a:pPr>
                <a:defRPr lang="en-US" sz="900" b="0" i="0" u="none" strike="noStrike" kern="1200" baseline="0">
                  <a:ln>
                    <a:solidFill>
                      <a:schemeClr val="accent1"/>
                    </a:solidFill>
                  </a:ln>
                  <a:solidFill>
                    <a:schemeClr val="accent5"/>
                  </a:solidFill>
                  <a:latin typeface="+mn-lt"/>
                  <a:ea typeface="+mn-ea"/>
                  <a:cs typeface="+mn-cs"/>
                </a:defRPr>
              </a:pPr>
              <a:endParaRPr lang="en-US"/>
            </a:p>
          </c:txPr>
        </c:dLbl>
      </c:pivotFmt>
      <c:pivotFmt>
        <c:idx val="1"/>
        <c:spPr>
          <a:solidFill>
            <a:schemeClr val="accent4"/>
          </a:solidFill>
          <a:ln>
            <a:noFill/>
          </a:ln>
          <a:effectLst/>
        </c:spPr>
        <c:dLbl>
          <c:idx val="0"/>
          <c:spPr>
            <a:noFill/>
            <a:ln>
              <a:noFill/>
            </a:ln>
            <a:effectLst/>
          </c:spPr>
          <c:txPr>
            <a:bodyPr rot="0" spcFirstLastPara="1" vertOverflow="ellipsis" vert="horz" wrap="square" anchor="ctr" anchorCtr="1"/>
            <a:lstStyle/>
            <a:p>
              <a:pPr>
                <a:defRPr lang="en-US" sz="900" b="0" i="0" u="none" strike="noStrike" kern="1200" baseline="0">
                  <a:ln>
                    <a:solidFill>
                      <a:schemeClr val="accent1"/>
                    </a:solidFill>
                  </a:ln>
                  <a:solidFill>
                    <a:schemeClr val="accent5"/>
                  </a:solidFill>
                  <a:latin typeface="+mn-lt"/>
                  <a:ea typeface="+mn-ea"/>
                  <a:cs typeface="+mn-cs"/>
                </a:defRPr>
              </a:pPr>
              <a:endParaRPr lang="en-US"/>
            </a:p>
          </c:txPr>
        </c:dLbl>
      </c:pivotFmt>
      <c:pivotFmt>
        <c:idx val="2"/>
        <c:spPr>
          <a:solidFill>
            <a:schemeClr val="accent4"/>
          </a:solidFill>
          <a:ln>
            <a:noFill/>
          </a:ln>
          <a:effectLst/>
        </c:spPr>
        <c:dLbl>
          <c:idx val="0"/>
          <c:spPr>
            <a:noFill/>
            <a:ln>
              <a:noFill/>
            </a:ln>
            <a:effectLst/>
          </c:spPr>
          <c:txPr>
            <a:bodyPr rot="0" spcFirstLastPara="1" vertOverflow="ellipsis" vert="horz" wrap="square" anchor="ctr" anchorCtr="1"/>
            <a:lstStyle/>
            <a:p>
              <a:pPr>
                <a:defRPr lang="en-US" sz="900" b="0" i="0" u="none" strike="noStrike" kern="1200" baseline="0">
                  <a:ln>
                    <a:solidFill>
                      <a:schemeClr val="accent1"/>
                    </a:solidFill>
                  </a:ln>
                  <a:solidFill>
                    <a:schemeClr val="accent5"/>
                  </a:solidFill>
                  <a:latin typeface="+mn-lt"/>
                  <a:ea typeface="+mn-ea"/>
                  <a:cs typeface="+mn-cs"/>
                </a:defRPr>
              </a:pPr>
              <a:endParaRPr lang="en-US"/>
            </a:p>
          </c:txPr>
        </c:dLbl>
      </c:pivotFmt>
      <c:pivotFmt>
        <c:idx val="3"/>
        <c:spPr>
          <a:solidFill>
            <a:schemeClr val="accent4"/>
          </a:solidFill>
          <a:ln>
            <a:noFill/>
          </a:ln>
          <a:effectLst/>
        </c:spPr>
        <c:dLbl>
          <c:idx val="0"/>
          <c:spPr>
            <a:noFill/>
            <a:ln>
              <a:noFill/>
            </a:ln>
            <a:effectLst/>
          </c:spPr>
          <c:txPr>
            <a:bodyPr rot="0" spcFirstLastPara="1" vertOverflow="ellipsis" vert="horz" wrap="square" anchor="ctr" anchorCtr="1"/>
            <a:lstStyle/>
            <a:p>
              <a:pPr>
                <a:defRPr lang="en-US" sz="900" b="0" i="0" u="none" strike="noStrike" kern="1200" baseline="0">
                  <a:ln>
                    <a:solidFill>
                      <a:schemeClr val="accent1"/>
                    </a:solidFill>
                  </a:ln>
                  <a:solidFill>
                    <a:schemeClr val="accent5"/>
                  </a:solidFill>
                  <a:latin typeface="+mn-lt"/>
                  <a:ea typeface="+mn-ea"/>
                  <a:cs typeface="+mn-cs"/>
                </a:defRPr>
              </a:pPr>
              <a:endParaRPr lang="en-US"/>
            </a:p>
          </c:txPr>
        </c:dLbl>
      </c:pivotFmt>
      <c:pivotFmt>
        <c:idx val="4"/>
        <c:spPr>
          <a:solidFill>
            <a:schemeClr val="accent4"/>
          </a:solidFill>
          <a:ln>
            <a:noFill/>
          </a:ln>
          <a:effectLst/>
        </c:spPr>
        <c:dLbl>
          <c:idx val="0"/>
          <c:spPr>
            <a:noFill/>
            <a:ln>
              <a:noFill/>
            </a:ln>
            <a:effectLst/>
          </c:spPr>
          <c:txPr>
            <a:bodyPr rot="0" spcFirstLastPara="1" vertOverflow="ellipsis" vert="horz" wrap="square" anchor="ctr" anchorCtr="1"/>
            <a:lstStyle/>
            <a:p>
              <a:pPr>
                <a:defRPr lang="en-US" sz="900" b="0" i="0" u="none" strike="noStrike" kern="1200" baseline="0">
                  <a:ln>
                    <a:solidFill>
                      <a:schemeClr val="accent1"/>
                    </a:solidFill>
                  </a:ln>
                  <a:solidFill>
                    <a:schemeClr val="accent5"/>
                  </a:solidFill>
                  <a:latin typeface="+mn-lt"/>
                  <a:ea typeface="+mn-ea"/>
                  <a:cs typeface="+mn-cs"/>
                </a:defRPr>
              </a:pPr>
              <a:endParaRPr lang="en-US"/>
            </a:p>
          </c:txPr>
        </c:dLbl>
      </c:pivotFmt>
      <c:pivotFmt>
        <c:idx val="5"/>
        <c:spPr>
          <a:solidFill>
            <a:schemeClr val="accent4"/>
          </a:solidFill>
          <a:ln>
            <a:noFill/>
          </a:ln>
          <a:effectLst/>
        </c:spPr>
        <c:dLbl>
          <c:idx val="0"/>
          <c:spPr>
            <a:noFill/>
            <a:ln>
              <a:noFill/>
            </a:ln>
            <a:effectLst/>
          </c:spPr>
          <c:txPr>
            <a:bodyPr rot="0" spcFirstLastPara="1" vertOverflow="ellipsis" vert="horz" wrap="square" anchor="ctr" anchorCtr="1"/>
            <a:lstStyle/>
            <a:p>
              <a:pPr>
                <a:defRPr lang="en-US" sz="900" b="0" i="0" u="none" strike="noStrike" kern="1200" baseline="0">
                  <a:ln>
                    <a:solidFill>
                      <a:schemeClr val="accent1"/>
                    </a:solidFill>
                  </a:ln>
                  <a:solidFill>
                    <a:schemeClr val="accent5"/>
                  </a:solidFill>
                  <a:latin typeface="+mn-lt"/>
                  <a:ea typeface="+mn-ea"/>
                  <a:cs typeface="+mn-cs"/>
                </a:defRPr>
              </a:pPr>
              <a:endParaRPr lang="en-US"/>
            </a:p>
          </c:txPr>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Pivot_Sheet!$B$5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Pivot_Sheet!$A$6:$A$13</c:f>
              <c:strCache>
                <c:ptCount val="7"/>
                <c:pt idx="0">
                  <c:v>Bangalore</c:v>
                </c:pt>
                <c:pt idx="1">
                  <c:v>Chennai</c:v>
                </c:pt>
                <c:pt idx="2">
                  <c:v>Delhi</c:v>
                </c:pt>
                <c:pt idx="3">
                  <c:v>Hyderabad</c:v>
                </c:pt>
                <c:pt idx="4">
                  <c:v>Kolkata</c:v>
                </c:pt>
                <c:pt idx="5">
                  <c:v>Mumbai</c:v>
                </c:pt>
                <c:pt idx="6">
                  <c:v>Pune</c:v>
                </c:pt>
              </c:strCache>
            </c:strRef>
          </c:cat>
          <c:val>
            <c:numRef>
              <c:f>Pivot_Sheet!$B$6:$B$13</c:f>
              <c:numCache>
                <c:formatCode>General</c:formatCode>
                <c:ptCount val="7"/>
                <c:pt idx="0">
                  <c:v>1837891</c:v>
                </c:pt>
                <c:pt idx="1">
                  <c:v>2773522</c:v>
                </c:pt>
                <c:pt idx="2">
                  <c:v>2237557</c:v>
                </c:pt>
                <c:pt idx="3">
                  <c:v>2483072</c:v>
                </c:pt>
                <c:pt idx="4">
                  <c:v>2734455</c:v>
                </c:pt>
                <c:pt idx="5">
                  <c:v>5040684</c:v>
                </c:pt>
                <c:pt idx="6">
                  <c:v>2128509</c:v>
                </c:pt>
              </c:numCache>
            </c:numRef>
          </c:val>
          <c:extLst>
            <c:ext xmlns:c16="http://schemas.microsoft.com/office/drawing/2014/chart" uri="{C3380CC4-5D6E-409C-BE32-E72D297353CC}">
              <c16:uniqueId val="{00000000-8A9B-4461-8FD3-1D23FBC700AC}"/>
            </c:ext>
          </c:extLst>
        </c:ser>
        <c:dLbls>
          <c:dLblPos val="outEnd"/>
          <c:showLegendKey val="0"/>
          <c:showVal val="1"/>
          <c:showCatName val="0"/>
          <c:showSerName val="0"/>
          <c:showPercent val="0"/>
          <c:showBubbleSize val="0"/>
        </c:dLbls>
        <c:gapWidth val="219"/>
        <c:overlap val="-27"/>
        <c:axId val="1673201919"/>
        <c:axId val="1673210079"/>
      </c:barChart>
      <c:catAx>
        <c:axId val="1673201919"/>
        <c:scaling>
          <c:orientation val="minMax"/>
        </c:scaling>
        <c:delete val="0"/>
        <c:axPos val="b"/>
        <c:title>
          <c:tx>
            <c:rich>
              <a:bodyPr rot="0" spcFirstLastPara="1" vertOverflow="ellipsis" vert="horz" wrap="square" anchor="ctr" anchorCtr="1"/>
              <a:lstStyle/>
              <a:p>
                <a:pPr>
                  <a:defRPr lang="en-US" sz="1050" b="0" i="0" u="none" strike="noStrike" kern="1200" baseline="0">
                    <a:solidFill>
                      <a:schemeClr val="tx1"/>
                    </a:solidFill>
                    <a:latin typeface="+mn-lt"/>
                    <a:ea typeface="+mn-ea"/>
                    <a:cs typeface="+mn-cs"/>
                  </a:defRPr>
                </a:pPr>
                <a:r>
                  <a:rPr lang="en-IN" sz="1050" b="1"/>
                  <a:t>City</a:t>
                </a:r>
              </a:p>
            </c:rich>
          </c:tx>
          <c:overlay val="0"/>
          <c:spPr>
            <a:noFill/>
            <a:ln>
              <a:noFill/>
            </a:ln>
            <a:effectLst/>
          </c:spPr>
          <c:txPr>
            <a:bodyPr rot="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500" b="1" i="0" u="none" strike="noStrike" kern="1200" baseline="0">
                <a:solidFill>
                  <a:schemeClr val="tx1"/>
                </a:solidFill>
                <a:latin typeface="+mn-lt"/>
                <a:ea typeface="+mn-ea"/>
                <a:cs typeface="+mn-cs"/>
              </a:defRPr>
            </a:pPr>
            <a:endParaRPr lang="en-US"/>
          </a:p>
        </c:txPr>
        <c:crossAx val="1673210079"/>
        <c:crosses val="autoZero"/>
        <c:auto val="1"/>
        <c:lblAlgn val="ctr"/>
        <c:lblOffset val="100"/>
        <c:noMultiLvlLbl val="0"/>
      </c:catAx>
      <c:valAx>
        <c:axId val="1673210079"/>
        <c:scaling>
          <c:orientation val="minMax"/>
        </c:scaling>
        <c:delete val="0"/>
        <c:axPos val="l"/>
        <c:title>
          <c:tx>
            <c:rich>
              <a:bodyPr rot="-54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r>
                  <a:rPr lang="en-IN" sz="1050" b="1"/>
                  <a:t>Total_Sale</a:t>
                </a:r>
              </a:p>
            </c:rich>
          </c:tx>
          <c:overlay val="0"/>
          <c:spPr>
            <a:noFill/>
            <a:ln>
              <a:noFill/>
            </a:ln>
            <a:effectLst/>
          </c:spPr>
          <c:txPr>
            <a:bodyPr rot="-54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500" b="1" i="0" u="none" strike="noStrike" kern="1200" baseline="0">
                <a:solidFill>
                  <a:schemeClr val="tx1"/>
                </a:solidFill>
                <a:latin typeface="+mn-lt"/>
                <a:ea typeface="+mn-ea"/>
                <a:cs typeface="+mn-cs"/>
              </a:defRPr>
            </a:pPr>
            <a:endParaRPr lang="en-US"/>
          </a:p>
        </c:txPr>
        <c:crossAx val="167320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Performance Dashboard.xlsx]Pivot_Sheet!PivotTable4</c:name>
    <c:fmtId val="3"/>
  </c:pivotSource>
  <c:chart>
    <c:title>
      <c:tx>
        <c:rich>
          <a:bodyPr rot="0" spcFirstLastPara="1" vertOverflow="ellipsis" vert="horz" wrap="square" anchor="ctr" anchorCtr="1"/>
          <a:lstStyle/>
          <a:p>
            <a:pPr>
              <a:defRPr lang="en-US" sz="1800" b="1" i="0" u="none" strike="noStrike" kern="1200" spc="0" baseline="0">
                <a:solidFill>
                  <a:schemeClr val="tx1"/>
                </a:solidFill>
                <a:latin typeface="+mn-lt"/>
                <a:ea typeface="+mn-ea"/>
                <a:cs typeface="+mn-cs"/>
              </a:defRPr>
            </a:pPr>
            <a:r>
              <a:rPr lang="en-US" sz="1800" b="1"/>
              <a:t>Total Sale By Product</a:t>
            </a:r>
          </a:p>
        </c:rich>
      </c:tx>
      <c:overlay val="0"/>
      <c:spPr>
        <a:noFill/>
        <a:ln>
          <a:noFill/>
        </a:ln>
        <a:effectLst/>
      </c:spPr>
      <c:txPr>
        <a:bodyPr rot="0" spcFirstLastPara="1" vertOverflow="ellipsis" vert="horz" wrap="square" anchor="ctr" anchorCtr="1"/>
        <a:lstStyle/>
        <a:p>
          <a:pPr>
            <a:defRPr lang="en-US"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Pivot_Sheet!$F$5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Pivot_Sheet!$E$6:$E$14</c:f>
              <c:strCache>
                <c:ptCount val="8"/>
                <c:pt idx="0">
                  <c:v>Headphones</c:v>
                </c:pt>
                <c:pt idx="1">
                  <c:v>Keyboard</c:v>
                </c:pt>
                <c:pt idx="2">
                  <c:v>Laptop</c:v>
                </c:pt>
                <c:pt idx="3">
                  <c:v>Monitor</c:v>
                </c:pt>
                <c:pt idx="4">
                  <c:v>Mouse</c:v>
                </c:pt>
                <c:pt idx="5">
                  <c:v>Printer</c:v>
                </c:pt>
                <c:pt idx="6">
                  <c:v>Tablet</c:v>
                </c:pt>
                <c:pt idx="7">
                  <c:v>Webcam</c:v>
                </c:pt>
              </c:strCache>
            </c:strRef>
          </c:cat>
          <c:val>
            <c:numRef>
              <c:f>Pivot_Sheet!$F$6:$F$14</c:f>
              <c:numCache>
                <c:formatCode>General</c:formatCode>
                <c:ptCount val="8"/>
                <c:pt idx="0">
                  <c:v>2453683</c:v>
                </c:pt>
                <c:pt idx="1">
                  <c:v>2017837</c:v>
                </c:pt>
                <c:pt idx="2">
                  <c:v>1545109</c:v>
                </c:pt>
                <c:pt idx="3">
                  <c:v>3492441</c:v>
                </c:pt>
                <c:pt idx="4">
                  <c:v>3016174</c:v>
                </c:pt>
                <c:pt idx="5">
                  <c:v>2434748</c:v>
                </c:pt>
                <c:pt idx="6">
                  <c:v>1512820</c:v>
                </c:pt>
                <c:pt idx="7">
                  <c:v>2762878</c:v>
                </c:pt>
              </c:numCache>
            </c:numRef>
          </c:val>
          <c:extLst>
            <c:ext xmlns:c16="http://schemas.microsoft.com/office/drawing/2014/chart" uri="{C3380CC4-5D6E-409C-BE32-E72D297353CC}">
              <c16:uniqueId val="{00000000-AAAC-4653-A567-7A765AAD4E6C}"/>
            </c:ext>
          </c:extLst>
        </c:ser>
        <c:dLbls>
          <c:dLblPos val="outEnd"/>
          <c:showLegendKey val="0"/>
          <c:showVal val="1"/>
          <c:showCatName val="0"/>
          <c:showSerName val="0"/>
          <c:showPercent val="0"/>
          <c:showBubbleSize val="0"/>
        </c:dLbls>
        <c:gapWidth val="182"/>
        <c:axId val="1458388895"/>
        <c:axId val="398814399"/>
      </c:barChart>
      <c:catAx>
        <c:axId val="1458388895"/>
        <c:scaling>
          <c:orientation val="minMax"/>
        </c:scaling>
        <c:delete val="0"/>
        <c:axPos val="l"/>
        <c:title>
          <c:tx>
            <c:rich>
              <a:bodyPr rot="-54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r>
                  <a:rPr lang="en-IN" b="1"/>
                  <a:t> Product</a:t>
                </a:r>
              </a:p>
            </c:rich>
          </c:tx>
          <c:overlay val="0"/>
          <c:spPr>
            <a:noFill/>
            <a:ln>
              <a:noFill/>
            </a:ln>
            <a:effectLst/>
          </c:spPr>
          <c:txPr>
            <a:bodyPr rot="-54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500" b="1" i="0" u="none" strike="noStrike" kern="1200" baseline="0">
                <a:solidFill>
                  <a:schemeClr val="tx1"/>
                </a:solidFill>
                <a:latin typeface="+mn-lt"/>
                <a:ea typeface="+mn-ea"/>
                <a:cs typeface="+mn-cs"/>
              </a:defRPr>
            </a:pPr>
            <a:endParaRPr lang="en-US"/>
          </a:p>
        </c:txPr>
        <c:crossAx val="398814399"/>
        <c:crosses val="autoZero"/>
        <c:auto val="1"/>
        <c:lblAlgn val="ctr"/>
        <c:lblOffset val="100"/>
        <c:noMultiLvlLbl val="0"/>
      </c:catAx>
      <c:valAx>
        <c:axId val="398814399"/>
        <c:scaling>
          <c:orientation val="minMax"/>
        </c:scaling>
        <c:delete val="0"/>
        <c:axPos val="b"/>
        <c:title>
          <c:tx>
            <c:rich>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r>
                  <a:rPr lang="en-IN" b="1"/>
                  <a:t>Total Sale</a:t>
                </a:r>
              </a:p>
            </c:rich>
          </c:tx>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1458388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Performance Dashboard.xlsx]Pivot_Sheet!PivotTable5</c:name>
    <c:fmtId val="6"/>
  </c:pivotSource>
  <c:chart>
    <c:title>
      <c:tx>
        <c:rich>
          <a:bodyPr rot="0" spcFirstLastPara="1" vertOverflow="ellipsis" vert="horz" wrap="square" anchor="ctr" anchorCtr="1"/>
          <a:lstStyle/>
          <a:p>
            <a:pPr>
              <a:defRPr lang="en-US" sz="2400" b="1" i="0" u="none" strike="noStrike" kern="1200" spc="0" baseline="0">
                <a:solidFill>
                  <a:schemeClr val="tx1"/>
                </a:solidFill>
                <a:latin typeface="+mn-lt"/>
                <a:ea typeface="+mn-ea"/>
                <a:cs typeface="+mn-cs"/>
              </a:defRPr>
            </a:pPr>
            <a:r>
              <a:rPr lang="en-US" sz="2400" b="1"/>
              <a:t>Sales Distribution By Category</a:t>
            </a:r>
          </a:p>
        </c:rich>
      </c:tx>
      <c:overlay val="0"/>
      <c:spPr>
        <a:noFill/>
        <a:ln>
          <a:noFill/>
        </a:ln>
        <a:effectLst/>
      </c:spPr>
      <c:txPr>
        <a:bodyPr rot="0" spcFirstLastPara="1" vertOverflow="ellipsis" vert="horz" wrap="square" anchor="ctr" anchorCtr="1"/>
        <a:lstStyle/>
        <a:p>
          <a:pPr>
            <a:defRPr lang="en-US"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hade val="76000"/>
            </a:schemeClr>
          </a:solidFill>
          <a:ln w="19050">
            <a:solidFill>
              <a:schemeClr val="lt1"/>
            </a:solidFill>
          </a:ln>
          <a:effectLst/>
        </c:spPr>
      </c:pivotFmt>
      <c:pivotFmt>
        <c:idx val="3"/>
        <c:spPr>
          <a:solidFill>
            <a:schemeClr val="accent4">
              <a:tint val="77000"/>
            </a:schemeClr>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solidFill>
              <a:sysClr val="window" lastClr="FFFFFF">
                <a:alpha val="85000"/>
              </a:sysClr>
            </a:solidFill>
            <a:ln>
              <a:solidFill>
                <a:sysClr val="windowText" lastClr="000000">
                  <a:lumMod val="25000"/>
                  <a:lumOff val="75000"/>
                </a:sysClr>
              </a:solidFill>
            </a:ln>
            <a:effectLst>
              <a:outerShdw blurRad="50800" dist="50800" dir="5400000" algn="ctr" rotWithShape="0">
                <a:sysClr val="windowText" lastClr="000000"/>
              </a:outerShdw>
            </a:effectLst>
          </c:spPr>
          <c:txPr>
            <a:bodyPr rot="0" spcFirstLastPara="1" vertOverflow="clip" horzOverflow="clip" vert="horz" wrap="square" lIns="36576" tIns="18288" rIns="36576" bIns="18288" anchor="ctr" anchorCtr="1">
              <a:spAutoFit/>
            </a:bodyPr>
            <a:lstStyle/>
            <a:p>
              <a:pPr>
                <a:defRPr lang="en-US" sz="15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hade val="76000"/>
            </a:schemeClr>
          </a:solidFill>
          <a:ln w="19050">
            <a:solidFill>
              <a:schemeClr val="lt1"/>
            </a:solidFill>
          </a:ln>
          <a:effectLst/>
        </c:spPr>
        <c:dLbl>
          <c:idx val="0"/>
          <c:tx>
            <c:rich>
              <a:bodyPr rot="0" spcFirstLastPara="1" vertOverflow="clip" horzOverflow="clip" vert="horz" wrap="square" lIns="36576" tIns="18288" rIns="36576" bIns="18288" anchor="ctr" anchorCtr="1">
                <a:spAutoFit/>
              </a:bodyPr>
              <a:lstStyle/>
              <a:p>
                <a:pPr>
                  <a:defRPr lang="en-US" sz="1500" b="1" i="0" u="none" strike="noStrike" kern="1200" baseline="0">
                    <a:solidFill>
                      <a:schemeClr val="tx1"/>
                    </a:solidFill>
                    <a:latin typeface="+mn-lt"/>
                    <a:ea typeface="+mn-ea"/>
                    <a:cs typeface="+mn-cs"/>
                  </a:defRPr>
                </a:pPr>
                <a:fld id="{DB63DC0C-4BE4-4B9C-8381-F87419D1DF42}" type="CATEGORYNAME">
                  <a:rPr lang="en-US"/>
                  <a:pPr>
                    <a:defRPr sz="1500" b="1"/>
                  </a:pPr>
                  <a:t>[CATEGORY NAME]</a:t>
                </a:fld>
                <a:r>
                  <a:rPr lang="en-US"/>
                  <a:t>
</a:t>
                </a:r>
                <a:fld id="{3CBA2185-15AD-4486-AD37-07FC82747B12}" type="PERCENTAGE">
                  <a:rPr lang="en-US"/>
                  <a:pPr>
                    <a:defRPr sz="1500" b="1"/>
                  </a:pPr>
                  <a:t>[PERCENTAGE]</a:t>
                </a:fld>
                <a:endParaRPr lang="en-US"/>
              </a:p>
            </c:rich>
          </c:tx>
          <c:spPr>
            <a:solidFill>
              <a:sysClr val="window" lastClr="FFFFFF">
                <a:alpha val="85000"/>
              </a:sysClr>
            </a:solidFill>
            <a:ln>
              <a:solidFill>
                <a:sysClr val="windowText" lastClr="000000">
                  <a:lumMod val="25000"/>
                  <a:lumOff val="75000"/>
                </a:sysClr>
              </a:solidFill>
            </a:ln>
            <a:effectLst>
              <a:outerShdw blurRad="50800" dist="50800" dir="5400000" algn="ctr" rotWithShape="0">
                <a:sysClr val="windowText" lastClr="000000"/>
              </a:outerShdw>
            </a:effectLst>
          </c:spPr>
          <c:txPr>
            <a:bodyPr rot="0" spcFirstLastPara="1" vertOverflow="clip" horzOverflow="clip" vert="horz" wrap="square" lIns="36576" tIns="18288" rIns="36576" bIns="18288" anchor="ctr" anchorCtr="1">
              <a:spAutoFit/>
            </a:bodyPr>
            <a:lstStyle/>
            <a:p>
              <a:pPr>
                <a:defRPr lang="en-US" sz="15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accent4">
              <a:tint val="77000"/>
            </a:schemeClr>
          </a:solidFill>
          <a:ln w="19050">
            <a:solidFill>
              <a:schemeClr val="lt1"/>
            </a:solidFill>
          </a:ln>
          <a:effectLst/>
        </c:spPr>
        <c:dLbl>
          <c:idx val="0"/>
          <c:tx>
            <c:rich>
              <a:bodyPr rot="0" spcFirstLastPara="1" vertOverflow="clip" horzOverflow="clip" vert="horz" wrap="square" lIns="36576" tIns="18288" rIns="36576" bIns="18288" anchor="ctr" anchorCtr="1">
                <a:spAutoFit/>
              </a:bodyPr>
              <a:lstStyle/>
              <a:p>
                <a:pPr>
                  <a:defRPr lang="en-US" sz="1500" b="1" i="0" u="none" strike="noStrike" kern="1200" baseline="0">
                    <a:solidFill>
                      <a:schemeClr val="tx1"/>
                    </a:solidFill>
                    <a:latin typeface="+mn-lt"/>
                    <a:ea typeface="+mn-ea"/>
                    <a:cs typeface="+mn-cs"/>
                  </a:defRPr>
                </a:pPr>
                <a:fld id="{7099330E-7A16-40DB-9C71-8FDE10B224D5}" type="CATEGORYNAME">
                  <a:rPr lang="en-US"/>
                  <a:pPr>
                    <a:defRPr sz="1500" b="1"/>
                  </a:pPr>
                  <a:t>[CATEGORY NAME]</a:t>
                </a:fld>
                <a:r>
                  <a:rPr lang="en-US"/>
                  <a:t>
</a:t>
                </a:r>
                <a:fld id="{C28B05A4-64B8-4FD2-8D89-4153D1977057}" type="PERCENTAGE">
                  <a:rPr lang="en-US"/>
                  <a:pPr>
                    <a:defRPr sz="1500" b="1"/>
                  </a:pPr>
                  <a:t>[PERCENTAGE]</a:t>
                </a:fld>
                <a:endParaRPr lang="en-US"/>
              </a:p>
            </c:rich>
          </c:tx>
          <c:spPr>
            <a:solidFill>
              <a:sysClr val="window" lastClr="FFFFFF">
                <a:alpha val="85000"/>
              </a:sysClr>
            </a:solidFill>
            <a:ln>
              <a:solidFill>
                <a:sysClr val="windowText" lastClr="000000">
                  <a:lumMod val="25000"/>
                  <a:lumOff val="75000"/>
                </a:sysClr>
              </a:solidFill>
            </a:ln>
            <a:effectLst>
              <a:outerShdw blurRad="50800" dist="50800" dir="5400000" algn="ctr" rotWithShape="0">
                <a:sysClr val="windowText" lastClr="000000"/>
              </a:outerShdw>
            </a:effectLst>
          </c:spPr>
          <c:txPr>
            <a:bodyPr rot="0" spcFirstLastPara="1" vertOverflow="clip" horzOverflow="clip" vert="horz" wrap="square" lIns="36576" tIns="18288" rIns="36576" bIns="18288" anchor="ctr" anchorCtr="1">
              <a:spAutoFit/>
            </a:bodyPr>
            <a:lstStyle/>
            <a:p>
              <a:pPr>
                <a:defRPr lang="en-US" sz="15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Pivot_Sheet!$J$5</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BE8E-4697-8402-15E5A157ABB6}"/>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BE8E-4697-8402-15E5A157ABB6}"/>
              </c:ext>
            </c:extLst>
          </c:dPt>
          <c:dLbls>
            <c:dLbl>
              <c:idx val="0"/>
              <c:tx>
                <c:rich>
                  <a:bodyPr/>
                  <a:lstStyle/>
                  <a:p>
                    <a:fld id="{DB63DC0C-4BE4-4B9C-8381-F87419D1DF42}" type="CATEGORYNAME">
                      <a:rPr lang="en-US"/>
                      <a:pPr/>
                      <a:t>[CATEGORY NAME]</a:t>
                    </a:fld>
                    <a:r>
                      <a:rPr lang="en-US"/>
                      <a:t>
</a:t>
                    </a:r>
                    <a:fld id="{3CBA2185-15AD-4486-AD37-07FC82747B12}"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E8E-4697-8402-15E5A157ABB6}"/>
                </c:ext>
              </c:extLst>
            </c:dLbl>
            <c:dLbl>
              <c:idx val="1"/>
              <c:tx>
                <c:rich>
                  <a:bodyPr/>
                  <a:lstStyle/>
                  <a:p>
                    <a:fld id="{7099330E-7A16-40DB-9C71-8FDE10B224D5}" type="CATEGORYNAME">
                      <a:rPr lang="en-US"/>
                      <a:pPr/>
                      <a:t>[CATEGORY NAME]</a:t>
                    </a:fld>
                    <a:r>
                      <a:rPr lang="en-US"/>
                      <a:t>
</a:t>
                    </a:r>
                    <a:fld id="{C28B05A4-64B8-4FD2-8D89-4153D1977057}"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E8E-4697-8402-15E5A157ABB6}"/>
                </c:ext>
              </c:extLst>
            </c:dLbl>
            <c:spPr>
              <a:solidFill>
                <a:sysClr val="window" lastClr="FFFFFF">
                  <a:alpha val="85000"/>
                </a:sysClr>
              </a:solidFill>
              <a:ln>
                <a:solidFill>
                  <a:sysClr val="windowText" lastClr="000000">
                    <a:lumMod val="25000"/>
                    <a:lumOff val="75000"/>
                  </a:sysClr>
                </a:solidFill>
              </a:ln>
              <a:effectLst>
                <a:outerShdw blurRad="50800" dist="50800" dir="5400000" algn="ctr" rotWithShape="0">
                  <a:sysClr val="windowText" lastClr="000000"/>
                </a:outerShdw>
              </a:effectLst>
            </c:spPr>
            <c:txPr>
              <a:bodyPr rot="0" spcFirstLastPara="1" vertOverflow="clip" horzOverflow="clip" vert="horz" wrap="square" lIns="36576" tIns="18288" rIns="36576" bIns="18288" anchor="ctr" anchorCtr="1">
                <a:spAutoFit/>
              </a:bodyPr>
              <a:lstStyle/>
              <a:p>
                <a:pPr>
                  <a:defRPr lang="en-US" sz="15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Pivot_Sheet!$I$6:$I$8</c:f>
              <c:strCache>
                <c:ptCount val="2"/>
                <c:pt idx="0">
                  <c:v>Accessories</c:v>
                </c:pt>
                <c:pt idx="1">
                  <c:v>Electronics</c:v>
                </c:pt>
              </c:strCache>
            </c:strRef>
          </c:cat>
          <c:val>
            <c:numRef>
              <c:f>Pivot_Sheet!$J$6:$J$8</c:f>
              <c:numCache>
                <c:formatCode>General</c:formatCode>
                <c:ptCount val="2"/>
                <c:pt idx="0">
                  <c:v>10250572</c:v>
                </c:pt>
                <c:pt idx="1">
                  <c:v>8985118</c:v>
                </c:pt>
              </c:numCache>
            </c:numRef>
          </c:val>
          <c:extLst>
            <c:ext xmlns:c16="http://schemas.microsoft.com/office/drawing/2014/chart" uri="{C3380CC4-5D6E-409C-BE32-E72D297353CC}">
              <c16:uniqueId val="{00000004-BE8E-4697-8402-15E5A157ABB6}"/>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Performance Dashboard.xlsx]Pivot_Sheet!PivotTable6</c:name>
    <c:fmtId val="4"/>
  </c:pivotSource>
  <c:chart>
    <c:title>
      <c:tx>
        <c:rich>
          <a:bodyPr rot="0" spcFirstLastPara="1" vertOverflow="ellipsis" vert="horz" wrap="square" anchor="ctr" anchorCtr="1"/>
          <a:lstStyle/>
          <a:p>
            <a:pPr>
              <a:defRPr lang="en-US" sz="2400" b="0" i="0" u="none" strike="noStrike" kern="1200" spc="0" baseline="0">
                <a:solidFill>
                  <a:schemeClr val="tx1"/>
                </a:solidFill>
                <a:latin typeface="+mn-lt"/>
                <a:ea typeface="+mn-ea"/>
                <a:cs typeface="+mn-cs"/>
              </a:defRPr>
            </a:pPr>
            <a:r>
              <a:rPr lang="en-US" sz="2400" b="1"/>
              <a:t>Monthly</a:t>
            </a:r>
            <a:r>
              <a:rPr lang="en-US" sz="2400" b="1" baseline="0"/>
              <a:t> Sales Trend</a:t>
            </a:r>
            <a:endParaRPr lang="en-US" sz="2400" b="1"/>
          </a:p>
        </c:rich>
      </c:tx>
      <c:overlay val="0"/>
      <c:spPr>
        <a:noFill/>
        <a:ln>
          <a:noFill/>
        </a:ln>
        <a:effectLst/>
      </c:spPr>
      <c:txPr>
        <a:bodyPr rot="0" spcFirstLastPara="1" vertOverflow="ellipsis" vert="horz" wrap="square" anchor="ctr" anchorCtr="1"/>
        <a:lstStyle/>
        <a:p>
          <a:pPr>
            <a:defRPr lang="en-US" sz="2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Pivot_Sheet!$F$17</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Pivot_Sheet!$E$18:$E$24</c:f>
              <c:strCache>
                <c:ptCount val="6"/>
                <c:pt idx="0">
                  <c:v>Jan</c:v>
                </c:pt>
                <c:pt idx="1">
                  <c:v>Feb</c:v>
                </c:pt>
                <c:pt idx="2">
                  <c:v>Mar</c:v>
                </c:pt>
                <c:pt idx="3">
                  <c:v>Apr</c:v>
                </c:pt>
                <c:pt idx="4">
                  <c:v>May</c:v>
                </c:pt>
                <c:pt idx="5">
                  <c:v>Jun</c:v>
                </c:pt>
              </c:strCache>
            </c:strRef>
          </c:cat>
          <c:val>
            <c:numRef>
              <c:f>Pivot_Sheet!$F$18:$F$24</c:f>
              <c:numCache>
                <c:formatCode>General</c:formatCode>
                <c:ptCount val="6"/>
                <c:pt idx="0">
                  <c:v>4051607</c:v>
                </c:pt>
                <c:pt idx="1">
                  <c:v>1895147</c:v>
                </c:pt>
                <c:pt idx="2">
                  <c:v>3262612</c:v>
                </c:pt>
                <c:pt idx="3">
                  <c:v>2965481</c:v>
                </c:pt>
                <c:pt idx="4">
                  <c:v>3740040</c:v>
                </c:pt>
                <c:pt idx="5">
                  <c:v>3320803</c:v>
                </c:pt>
              </c:numCache>
            </c:numRef>
          </c:val>
          <c:smooth val="0"/>
          <c:extLst>
            <c:ext xmlns:c16="http://schemas.microsoft.com/office/drawing/2014/chart" uri="{C3380CC4-5D6E-409C-BE32-E72D297353CC}">
              <c16:uniqueId val="{00000000-8EE8-4689-9EBE-844AFF1E7376}"/>
            </c:ext>
          </c:extLst>
        </c:ser>
        <c:dLbls>
          <c:dLblPos val="t"/>
          <c:showLegendKey val="0"/>
          <c:showVal val="1"/>
          <c:showCatName val="0"/>
          <c:showSerName val="0"/>
          <c:showPercent val="0"/>
          <c:showBubbleSize val="0"/>
        </c:dLbls>
        <c:smooth val="0"/>
        <c:axId val="398834079"/>
        <c:axId val="398835519"/>
      </c:lineChart>
      <c:catAx>
        <c:axId val="398834079"/>
        <c:scaling>
          <c:orientation val="minMax"/>
        </c:scaling>
        <c:delete val="0"/>
        <c:axPos val="b"/>
        <c:title>
          <c:tx>
            <c:rich>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r>
                  <a:rPr lang="en-IN" b="1"/>
                  <a:t> Month</a:t>
                </a:r>
              </a:p>
            </c:rich>
          </c:tx>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500" b="1" i="0" u="none" strike="noStrike" kern="1200" baseline="0">
                <a:solidFill>
                  <a:schemeClr val="tx1"/>
                </a:solidFill>
                <a:latin typeface="+mn-lt"/>
                <a:ea typeface="+mn-ea"/>
                <a:cs typeface="+mn-cs"/>
              </a:defRPr>
            </a:pPr>
            <a:endParaRPr lang="en-US"/>
          </a:p>
        </c:txPr>
        <c:crossAx val="398835519"/>
        <c:crosses val="autoZero"/>
        <c:auto val="1"/>
        <c:lblAlgn val="ctr"/>
        <c:lblOffset val="100"/>
        <c:noMultiLvlLbl val="0"/>
      </c:catAx>
      <c:valAx>
        <c:axId val="398835519"/>
        <c:scaling>
          <c:orientation val="minMax"/>
        </c:scaling>
        <c:delete val="0"/>
        <c:axPos val="l"/>
        <c:title>
          <c:tx>
            <c:rich>
              <a:bodyPr rot="-54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r>
                  <a:rPr lang="en-IN" b="1"/>
                  <a:t>Total Sale</a:t>
                </a:r>
              </a:p>
            </c:rich>
          </c:tx>
          <c:overlay val="0"/>
          <c:spPr>
            <a:noFill/>
            <a:ln>
              <a:noFill/>
            </a:ln>
            <a:effectLst/>
          </c:spPr>
          <c:txPr>
            <a:bodyPr rot="-540000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39883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Performance Dashboard.xlsx]Pivot_Sheet!PivotTable7</c:name>
    <c:fmtId val="4"/>
  </c:pivotSource>
  <c:chart>
    <c:title>
      <c:tx>
        <c:rich>
          <a:bodyPr rot="0" spcFirstLastPara="1" vertOverflow="ellipsis" vert="horz" wrap="square" anchor="ctr" anchorCtr="1"/>
          <a:lstStyle/>
          <a:p>
            <a:pPr>
              <a:defRPr lang="en-US" sz="2400" b="1" i="0" u="none" strike="noStrike" kern="1200" spc="0" baseline="0">
                <a:solidFill>
                  <a:schemeClr val="tx1"/>
                </a:solidFill>
                <a:latin typeface="+mn-lt"/>
                <a:ea typeface="+mn-ea"/>
                <a:cs typeface="+mn-cs"/>
              </a:defRPr>
            </a:pPr>
            <a:r>
              <a:rPr lang="en-IN" sz="2400"/>
              <a:t>Monthly Order Trend</a:t>
            </a:r>
          </a:p>
        </c:rich>
      </c:tx>
      <c:overlay val="0"/>
      <c:spPr>
        <a:noFill/>
        <a:ln>
          <a:noFill/>
        </a:ln>
        <a:effectLst/>
      </c:spPr>
      <c:txPr>
        <a:bodyPr rot="0" spcFirstLastPara="1" vertOverflow="ellipsis" vert="horz" wrap="square" anchor="ctr" anchorCtr="1"/>
        <a:lstStyle/>
        <a:p>
          <a:pPr>
            <a:defRPr lang="en-US"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anchor="ctr" anchorCtr="1"/>
            <a:lstStyle/>
            <a:p>
              <a:pPr>
                <a:defRPr lang="en-US" sz="1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Pivot_Sheet!$J$17</c:f>
              <c:strCache>
                <c:ptCount val="1"/>
                <c:pt idx="0">
                  <c:v>Total</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anchor="ctr" anchorCtr="1"/>
              <a:lstStyle/>
              <a:p>
                <a:pPr>
                  <a:defRPr lang="en-US" sz="1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Pivot_Sheet!$I$18:$I$24</c:f>
              <c:strCache>
                <c:ptCount val="6"/>
                <c:pt idx="0">
                  <c:v>Jan</c:v>
                </c:pt>
                <c:pt idx="1">
                  <c:v>Feb</c:v>
                </c:pt>
                <c:pt idx="2">
                  <c:v>Mar</c:v>
                </c:pt>
                <c:pt idx="3">
                  <c:v>Apr</c:v>
                </c:pt>
                <c:pt idx="4">
                  <c:v>May</c:v>
                </c:pt>
                <c:pt idx="5">
                  <c:v>Jun</c:v>
                </c:pt>
              </c:strCache>
            </c:strRef>
          </c:cat>
          <c:val>
            <c:numRef>
              <c:f>Pivot_Sheet!$J$18:$J$24</c:f>
              <c:numCache>
                <c:formatCode>General</c:formatCode>
                <c:ptCount val="6"/>
                <c:pt idx="0">
                  <c:v>25</c:v>
                </c:pt>
                <c:pt idx="1">
                  <c:v>11</c:v>
                </c:pt>
                <c:pt idx="2">
                  <c:v>21</c:v>
                </c:pt>
                <c:pt idx="3">
                  <c:v>22</c:v>
                </c:pt>
                <c:pt idx="4">
                  <c:v>19</c:v>
                </c:pt>
                <c:pt idx="5">
                  <c:v>22</c:v>
                </c:pt>
              </c:numCache>
            </c:numRef>
          </c:val>
          <c:smooth val="0"/>
          <c:extLst>
            <c:ext xmlns:c16="http://schemas.microsoft.com/office/drawing/2014/chart" uri="{C3380CC4-5D6E-409C-BE32-E72D297353CC}">
              <c16:uniqueId val="{00000000-57A5-4955-83FA-0026DE6FD001}"/>
            </c:ext>
          </c:extLst>
        </c:ser>
        <c:dLbls>
          <c:dLblPos val="t"/>
          <c:showLegendKey val="0"/>
          <c:showVal val="1"/>
          <c:showCatName val="0"/>
          <c:showSerName val="0"/>
          <c:showPercent val="0"/>
          <c:showBubbleSize val="0"/>
        </c:dLbls>
        <c:smooth val="0"/>
        <c:axId val="398822079"/>
        <c:axId val="398823999"/>
      </c:lineChart>
      <c:catAx>
        <c:axId val="398822079"/>
        <c:scaling>
          <c:orientation val="minMax"/>
        </c:scaling>
        <c:delete val="0"/>
        <c:axPos val="b"/>
        <c:title>
          <c:tx>
            <c:rich>
              <a:bodyPr rot="0" spcFirstLastPara="1" vertOverflow="ellipsis" vert="horz" wrap="square" anchor="ctr" anchorCtr="1"/>
              <a:lstStyle/>
              <a:p>
                <a:pPr>
                  <a:defRPr lang="en-US" sz="1500" b="1" i="0" u="none" strike="noStrike" kern="1200" baseline="0">
                    <a:solidFill>
                      <a:schemeClr val="tx1"/>
                    </a:solidFill>
                    <a:latin typeface="+mn-lt"/>
                    <a:ea typeface="+mn-ea"/>
                    <a:cs typeface="+mn-cs"/>
                  </a:defRPr>
                </a:pPr>
                <a:r>
                  <a:rPr lang="en-IN" sz="1500"/>
                  <a:t>Month</a:t>
                </a:r>
              </a:p>
            </c:rich>
          </c:tx>
          <c:overlay val="0"/>
          <c:spPr>
            <a:noFill/>
            <a:ln>
              <a:noFill/>
            </a:ln>
            <a:effectLst/>
          </c:spPr>
          <c:txPr>
            <a:bodyPr rot="0" spcFirstLastPara="1" vertOverflow="ellipsis" vert="horz" wrap="square" anchor="ctr" anchorCtr="1"/>
            <a:lstStyle/>
            <a:p>
              <a:pPr>
                <a:defRPr lang="en-US" sz="15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crossAx val="398823999"/>
        <c:crosses val="autoZero"/>
        <c:auto val="1"/>
        <c:lblAlgn val="ctr"/>
        <c:lblOffset val="100"/>
        <c:noMultiLvlLbl val="0"/>
      </c:catAx>
      <c:valAx>
        <c:axId val="398823999"/>
        <c:scaling>
          <c:orientation val="minMax"/>
        </c:scaling>
        <c:delete val="0"/>
        <c:axPos val="l"/>
        <c:title>
          <c:tx>
            <c:rich>
              <a:bodyPr rot="-5400000" spcFirstLastPara="1" vertOverflow="ellipsis" vert="horz" wrap="square" anchor="ctr" anchorCtr="1"/>
              <a:lstStyle/>
              <a:p>
                <a:pPr>
                  <a:defRPr lang="en-US" sz="1500" b="1" i="0" u="none" strike="noStrike" kern="1200" baseline="0">
                    <a:solidFill>
                      <a:schemeClr val="tx1"/>
                    </a:solidFill>
                    <a:latin typeface="+mn-lt"/>
                    <a:ea typeface="+mn-ea"/>
                    <a:cs typeface="+mn-cs"/>
                  </a:defRPr>
                </a:pPr>
                <a:r>
                  <a:rPr lang="en-IN" sz="1500"/>
                  <a:t>No. Of Orders</a:t>
                </a:r>
              </a:p>
            </c:rich>
          </c:tx>
          <c:overlay val="0"/>
          <c:spPr>
            <a:noFill/>
            <a:ln>
              <a:noFill/>
            </a:ln>
            <a:effectLst/>
          </c:spPr>
          <c:txPr>
            <a:bodyPr rot="-5400000" spcFirstLastPara="1" vertOverflow="ellipsis" vert="horz" wrap="square" anchor="ctr" anchorCtr="1"/>
            <a:lstStyle/>
            <a:p>
              <a:pPr>
                <a:defRPr lang="en-US" sz="15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crossAx val="398822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Performance Dashboard.xlsx]Pivot_Sheet!PivotTable3</c:name>
    <c:fmtId val="7"/>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IN" sz="2400" b="1"/>
              <a:t>Orders</a:t>
            </a:r>
            <a:r>
              <a:rPr lang="en-IN" sz="2400" b="1" baseline="0"/>
              <a:t> by City</a:t>
            </a:r>
            <a:endParaRPr lang="en-IN" sz="2400" b="1"/>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87999611716456"/>
          <c:y val="0.14594323718533569"/>
          <c:w val="0.75710557882827823"/>
          <c:h val="0.6727249013721206"/>
        </c:manualLayout>
      </c:layout>
      <c:barChart>
        <c:barDir val="col"/>
        <c:grouping val="stacked"/>
        <c:varyColors val="0"/>
        <c:ser>
          <c:idx val="0"/>
          <c:order val="0"/>
          <c:tx>
            <c:strRef>
              <c:f>Pivot_Sheet!$B$17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Pivot_Sheet!$A$18:$A$25</c:f>
              <c:strCache>
                <c:ptCount val="7"/>
                <c:pt idx="0">
                  <c:v>Bangalore</c:v>
                </c:pt>
                <c:pt idx="1">
                  <c:v>Chennai</c:v>
                </c:pt>
                <c:pt idx="2">
                  <c:v>Delhi</c:v>
                </c:pt>
                <c:pt idx="3">
                  <c:v>Hyderabad</c:v>
                </c:pt>
                <c:pt idx="4">
                  <c:v>Kolkata</c:v>
                </c:pt>
                <c:pt idx="5">
                  <c:v>Mumbai</c:v>
                </c:pt>
                <c:pt idx="6">
                  <c:v>Pune</c:v>
                </c:pt>
              </c:strCache>
            </c:strRef>
          </c:cat>
          <c:val>
            <c:numRef>
              <c:f>Pivot_Sheet!$B$18:$B$25</c:f>
              <c:numCache>
                <c:formatCode>General</c:formatCode>
                <c:ptCount val="7"/>
                <c:pt idx="0">
                  <c:v>12</c:v>
                </c:pt>
                <c:pt idx="1">
                  <c:v>18</c:v>
                </c:pt>
                <c:pt idx="2">
                  <c:v>16</c:v>
                </c:pt>
                <c:pt idx="3">
                  <c:v>13</c:v>
                </c:pt>
                <c:pt idx="4">
                  <c:v>19</c:v>
                </c:pt>
                <c:pt idx="5">
                  <c:v>25</c:v>
                </c:pt>
                <c:pt idx="6">
                  <c:v>17</c:v>
                </c:pt>
              </c:numCache>
            </c:numRef>
          </c:val>
          <c:extLst>
            <c:ext xmlns:c16="http://schemas.microsoft.com/office/drawing/2014/chart" uri="{C3380CC4-5D6E-409C-BE32-E72D297353CC}">
              <c16:uniqueId val="{00000000-4DA3-4567-A974-5478253ED0F6}"/>
            </c:ext>
          </c:extLst>
        </c:ser>
        <c:dLbls>
          <c:dLblPos val="ctr"/>
          <c:showLegendKey val="0"/>
          <c:showVal val="1"/>
          <c:showCatName val="0"/>
          <c:showSerName val="0"/>
          <c:showPercent val="0"/>
          <c:showBubbleSize val="0"/>
        </c:dLbls>
        <c:gapWidth val="150"/>
        <c:overlap val="100"/>
        <c:axId val="398809119"/>
        <c:axId val="398816799"/>
      </c:barChart>
      <c:catAx>
        <c:axId val="398809119"/>
        <c:scaling>
          <c:orientation val="minMax"/>
        </c:scaling>
        <c:delete val="0"/>
        <c:axPos val="b"/>
        <c:title>
          <c:tx>
            <c:rich>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r>
                  <a:rPr lang="en-IN" sz="1400" b="1"/>
                  <a:t>City</a:t>
                </a:r>
              </a:p>
            </c:rich>
          </c:tx>
          <c:overlay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600" b="1" i="0" u="none" strike="noStrike" kern="1200" baseline="0">
                <a:solidFill>
                  <a:schemeClr val="tx1"/>
                </a:solidFill>
                <a:latin typeface="+mn-lt"/>
                <a:ea typeface="+mn-ea"/>
                <a:cs typeface="+mn-cs"/>
              </a:defRPr>
            </a:pPr>
            <a:endParaRPr lang="en-US"/>
          </a:p>
        </c:txPr>
        <c:crossAx val="398816799"/>
        <c:crosses val="autoZero"/>
        <c:auto val="1"/>
        <c:lblAlgn val="ctr"/>
        <c:lblOffset val="100"/>
        <c:noMultiLvlLbl val="0"/>
      </c:catAx>
      <c:valAx>
        <c:axId val="398816799"/>
        <c:scaling>
          <c:orientation val="minMax"/>
        </c:scaling>
        <c:delete val="0"/>
        <c:axPos val="l"/>
        <c:title>
          <c:tx>
            <c:rich>
              <a:bodyPr rot="-54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r>
                  <a:rPr lang="en-IN" sz="1100" b="1"/>
                  <a:t>No. Of Orders</a:t>
                </a:r>
              </a:p>
            </c:rich>
          </c:tx>
          <c:overlay val="0"/>
          <c:spPr>
            <a:noFill/>
            <a:ln>
              <a:noFill/>
            </a:ln>
            <a:effectLst/>
          </c:spPr>
          <c:txPr>
            <a:bodyPr rot="-54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800" b="1" i="0" u="none" strike="noStrike" kern="1200" baseline="0">
                <a:solidFill>
                  <a:schemeClr val="tx1"/>
                </a:solidFill>
                <a:latin typeface="+mn-lt"/>
                <a:ea typeface="+mn-ea"/>
                <a:cs typeface="+mn-cs"/>
              </a:defRPr>
            </a:pPr>
            <a:endParaRPr lang="en-US"/>
          </a:p>
        </c:txPr>
        <c:crossAx val="39880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41991</xdr:colOff>
      <xdr:row>1</xdr:row>
      <xdr:rowOff>19459</xdr:rowOff>
    </xdr:from>
    <xdr:to>
      <xdr:col>47</xdr:col>
      <xdr:colOff>285750</xdr:colOff>
      <xdr:row>76</xdr:row>
      <xdr:rowOff>63499</xdr:rowOff>
    </xdr:to>
    <xdr:sp macro="" textlink="">
      <xdr:nvSpPr>
        <xdr:cNvPr id="3" name="Rectangle 2">
          <a:extLst>
            <a:ext uri="{FF2B5EF4-FFF2-40B4-BE49-F238E27FC236}">
              <a16:creationId xmlns:a16="http://schemas.microsoft.com/office/drawing/2014/main" id="{9378AE91-7651-C923-E3FC-CC06716357AB}"/>
            </a:ext>
          </a:extLst>
        </xdr:cNvPr>
        <xdr:cNvSpPr/>
      </xdr:nvSpPr>
      <xdr:spPr>
        <a:xfrm>
          <a:off x="41991" y="19459"/>
          <a:ext cx="30215759" cy="1456966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596318</xdr:colOff>
      <xdr:row>16</xdr:row>
      <xdr:rowOff>62410</xdr:rowOff>
    </xdr:from>
    <xdr:to>
      <xdr:col>12</xdr:col>
      <xdr:colOff>857250</xdr:colOff>
      <xdr:row>43</xdr:row>
      <xdr:rowOff>127000</xdr:rowOff>
    </xdr:to>
    <xdr:graphicFrame macro="">
      <xdr:nvGraphicFramePr>
        <xdr:cNvPr id="4" name="Chart 3">
          <a:extLst>
            <a:ext uri="{FF2B5EF4-FFF2-40B4-BE49-F238E27FC236}">
              <a16:creationId xmlns:a16="http://schemas.microsoft.com/office/drawing/2014/main" id="{554442DF-6C22-49B1-B9E6-737266DC5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597180</xdr:colOff>
      <xdr:row>44</xdr:row>
      <xdr:rowOff>58483</xdr:rowOff>
    </xdr:from>
    <xdr:to>
      <xdr:col>12</xdr:col>
      <xdr:colOff>825500</xdr:colOff>
      <xdr:row>70</xdr:row>
      <xdr:rowOff>15874</xdr:rowOff>
    </xdr:to>
    <xdr:graphicFrame macro="">
      <xdr:nvGraphicFramePr>
        <xdr:cNvPr id="5" name="Chart 4">
          <a:extLst>
            <a:ext uri="{FF2B5EF4-FFF2-40B4-BE49-F238E27FC236}">
              <a16:creationId xmlns:a16="http://schemas.microsoft.com/office/drawing/2014/main" id="{21816F8D-8B14-40D0-B266-C644ABFE9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1239401</xdr:colOff>
      <xdr:row>16</xdr:row>
      <xdr:rowOff>65622</xdr:rowOff>
    </xdr:from>
    <xdr:to>
      <xdr:col>26</xdr:col>
      <xdr:colOff>15875</xdr:colOff>
      <xdr:row>44</xdr:row>
      <xdr:rowOff>15875</xdr:rowOff>
    </xdr:to>
    <xdr:graphicFrame macro="">
      <xdr:nvGraphicFramePr>
        <xdr:cNvPr id="6" name="Chart 5">
          <a:extLst>
            <a:ext uri="{FF2B5EF4-FFF2-40B4-BE49-F238E27FC236}">
              <a16:creationId xmlns:a16="http://schemas.microsoft.com/office/drawing/2014/main" id="{81B28F32-76D5-4268-8E82-60C90B151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1188237</xdr:colOff>
      <xdr:row>44</xdr:row>
      <xdr:rowOff>82060</xdr:rowOff>
    </xdr:from>
    <xdr:to>
      <xdr:col>26</xdr:col>
      <xdr:colOff>79375</xdr:colOff>
      <xdr:row>70</xdr:row>
      <xdr:rowOff>127000</xdr:rowOff>
    </xdr:to>
    <xdr:graphicFrame macro="">
      <xdr:nvGraphicFramePr>
        <xdr:cNvPr id="7" name="Chart 6">
          <a:extLst>
            <a:ext uri="{FF2B5EF4-FFF2-40B4-BE49-F238E27FC236}">
              <a16:creationId xmlns:a16="http://schemas.microsoft.com/office/drawing/2014/main" id="{108E2C43-6B4D-455D-9E89-CB954736C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492125</xdr:colOff>
      <xdr:row>16</xdr:row>
      <xdr:rowOff>15875</xdr:rowOff>
    </xdr:from>
    <xdr:to>
      <xdr:col>42</xdr:col>
      <xdr:colOff>127000</xdr:colOff>
      <xdr:row>43</xdr:row>
      <xdr:rowOff>79375</xdr:rowOff>
    </xdr:to>
    <xdr:graphicFrame macro="">
      <xdr:nvGraphicFramePr>
        <xdr:cNvPr id="8" name="Chart 7">
          <a:extLst>
            <a:ext uri="{FF2B5EF4-FFF2-40B4-BE49-F238E27FC236}">
              <a16:creationId xmlns:a16="http://schemas.microsoft.com/office/drawing/2014/main" id="{614B5829-74DE-4814-800B-F596E407A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571500</xdr:colOff>
      <xdr:row>43</xdr:row>
      <xdr:rowOff>111125</xdr:rowOff>
    </xdr:from>
    <xdr:to>
      <xdr:col>42</xdr:col>
      <xdr:colOff>79375</xdr:colOff>
      <xdr:row>70</xdr:row>
      <xdr:rowOff>127001</xdr:rowOff>
    </xdr:to>
    <xdr:graphicFrame macro="">
      <xdr:nvGraphicFramePr>
        <xdr:cNvPr id="9" name="Chart 8">
          <a:extLst>
            <a:ext uri="{FF2B5EF4-FFF2-40B4-BE49-F238E27FC236}">
              <a16:creationId xmlns:a16="http://schemas.microsoft.com/office/drawing/2014/main" id="{D3DDA5A9-694E-412E-92A2-D22F41C22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317500</xdr:colOff>
      <xdr:row>2</xdr:row>
      <xdr:rowOff>95250</xdr:rowOff>
    </xdr:from>
    <xdr:to>
      <xdr:col>30</xdr:col>
      <xdr:colOff>317500</xdr:colOff>
      <xdr:row>7</xdr:row>
      <xdr:rowOff>190499</xdr:rowOff>
    </xdr:to>
    <xdr:sp macro="" textlink="">
      <xdr:nvSpPr>
        <xdr:cNvPr id="10" name="TextBox 9">
          <a:extLst>
            <a:ext uri="{FF2B5EF4-FFF2-40B4-BE49-F238E27FC236}">
              <a16:creationId xmlns:a16="http://schemas.microsoft.com/office/drawing/2014/main" id="{B2747600-DDE3-E4C3-6CF5-A16440E6F042}"/>
            </a:ext>
          </a:extLst>
        </xdr:cNvPr>
        <xdr:cNvSpPr txBox="1"/>
      </xdr:nvSpPr>
      <xdr:spPr>
        <a:xfrm>
          <a:off x="8413750" y="285750"/>
          <a:ext cx="11620500" cy="1285874"/>
        </a:xfrm>
        <a:prstGeom prst="rect">
          <a:avLst/>
        </a:prstGeom>
        <a:solidFill>
          <a:sysClr val="window" lastClr="FFFFFF"/>
        </a:solidFill>
      </xdr:spPr>
      <xdr:style>
        <a:lnRef idx="2">
          <a:schemeClr val="accent4">
            <a:shade val="15000"/>
          </a:schemeClr>
        </a:lnRef>
        <a:fillRef idx="1">
          <a:schemeClr val="accent4"/>
        </a:fillRef>
        <a:effectRef idx="0">
          <a:schemeClr val="accent4"/>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6000" b="1" i="1" cap="none" spc="0">
              <a:ln w="0"/>
              <a:solidFill>
                <a:schemeClr val="accent4">
                  <a:lumMod val="75000"/>
                </a:schemeClr>
              </a:solidFill>
              <a:effectLst>
                <a:outerShdw blurRad="38100" dist="19050" dir="2700000" algn="tl" rotWithShape="0">
                  <a:schemeClr val="dk1">
                    <a:alpha val="40000"/>
                  </a:schemeClr>
                </a:outerShdw>
              </a:effectLst>
              <a:latin typeface="+mn-lt"/>
              <a:ea typeface="+mn-ea"/>
              <a:cs typeface="+mn-cs"/>
            </a:rPr>
            <a:t>Sales Performance Dashboard</a:t>
          </a:r>
        </a:p>
        <a:p>
          <a:pPr marL="0" indent="0" algn="ctr"/>
          <a:endParaRPr lang="en-IN" sz="3600" b="1" cap="none" spc="0">
            <a:ln w="0"/>
            <a:solidFill>
              <a:schemeClr val="accent4">
                <a:lumMod val="75000"/>
              </a:schemeClr>
            </a:solidFill>
            <a:effectLst>
              <a:outerShdw blurRad="38100" dist="19050" dir="2700000" algn="tl" rotWithShape="0">
                <a:schemeClr val="dk1">
                  <a:alpha val="40000"/>
                </a:schemeClr>
              </a:outerShdw>
            </a:effectLst>
            <a:latin typeface="+mn-lt"/>
            <a:ea typeface="+mn-ea"/>
            <a:cs typeface="+mn-cs"/>
          </a:endParaRPr>
        </a:p>
      </xdr:txBody>
    </xdr:sp>
    <xdr:clientData/>
  </xdr:twoCellAnchor>
  <xdr:twoCellAnchor>
    <xdr:from>
      <xdr:col>7</xdr:col>
      <xdr:colOff>315654</xdr:colOff>
      <xdr:row>12</xdr:row>
      <xdr:rowOff>144540</xdr:rowOff>
    </xdr:from>
    <xdr:to>
      <xdr:col>10</xdr:col>
      <xdr:colOff>84565</xdr:colOff>
      <xdr:row>16</xdr:row>
      <xdr:rowOff>34018</xdr:rowOff>
    </xdr:to>
    <xdr:sp macro="" textlink="C7">
      <xdr:nvSpPr>
        <xdr:cNvPr id="11" name="Rectangle 10">
          <a:extLst>
            <a:ext uri="{FF2B5EF4-FFF2-40B4-BE49-F238E27FC236}">
              <a16:creationId xmlns:a16="http://schemas.microsoft.com/office/drawing/2014/main" id="{52B73F17-D0BD-795E-FD05-E10B24693047}"/>
            </a:ext>
          </a:extLst>
        </xdr:cNvPr>
        <xdr:cNvSpPr/>
      </xdr:nvSpPr>
      <xdr:spPr>
        <a:xfrm>
          <a:off x="5157529" y="2478165"/>
          <a:ext cx="1816786" cy="651478"/>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4F1352BB-13B8-44D2-9501-C0EDF228F3D1}" type="TxLink">
            <a:rPr lang="en-US" sz="2400" b="1" i="0" u="none" strike="noStrike">
              <a:solidFill>
                <a:schemeClr val="bg1"/>
              </a:solidFill>
              <a:latin typeface="Calibri"/>
              <a:ea typeface="Calibri"/>
              <a:cs typeface="Calibri"/>
            </a:rPr>
            <a:pPr algn="ctr"/>
            <a:t>19.2M</a:t>
          </a:fld>
          <a:endParaRPr lang="en-IN" sz="2400" b="1">
            <a:solidFill>
              <a:schemeClr val="bg1"/>
            </a:solidFill>
          </a:endParaRPr>
        </a:p>
      </xdr:txBody>
    </xdr:sp>
    <xdr:clientData/>
  </xdr:twoCellAnchor>
  <xdr:twoCellAnchor>
    <xdr:from>
      <xdr:col>12</xdr:col>
      <xdr:colOff>903460</xdr:colOff>
      <xdr:row>12</xdr:row>
      <xdr:rowOff>164829</xdr:rowOff>
    </xdr:from>
    <xdr:to>
      <xdr:col>15</xdr:col>
      <xdr:colOff>148925</xdr:colOff>
      <xdr:row>16</xdr:row>
      <xdr:rowOff>58965</xdr:rowOff>
    </xdr:to>
    <xdr:sp macro="" textlink="F7">
      <xdr:nvSpPr>
        <xdr:cNvPr id="13" name="Rectangle 12">
          <a:extLst>
            <a:ext uri="{FF2B5EF4-FFF2-40B4-BE49-F238E27FC236}">
              <a16:creationId xmlns:a16="http://schemas.microsoft.com/office/drawing/2014/main" id="{792BE89F-EB81-7C9F-89DC-65CB49C235A2}"/>
            </a:ext>
          </a:extLst>
        </xdr:cNvPr>
        <xdr:cNvSpPr/>
      </xdr:nvSpPr>
      <xdr:spPr>
        <a:xfrm>
          <a:off x="8999710" y="2498454"/>
          <a:ext cx="1817215" cy="65613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fld id="{2AFB4D91-24CB-411E-9015-254B1F778D82}" type="TxLink">
            <a:rPr lang="en-US" sz="2400" b="1" i="0" u="none" strike="noStrike">
              <a:solidFill>
                <a:schemeClr val="bg1"/>
              </a:solidFill>
              <a:latin typeface="Calibri"/>
              <a:ea typeface="Calibri"/>
              <a:cs typeface="Calibri"/>
            </a:rPr>
            <a:pPr marL="0" indent="0" algn="ctr"/>
            <a:t>656</a:t>
          </a:fld>
          <a:endParaRPr lang="en-IN" sz="2400" b="1" i="0" u="none" strike="noStrike">
            <a:solidFill>
              <a:schemeClr val="bg1"/>
            </a:solidFill>
            <a:latin typeface="Calibri"/>
            <a:ea typeface="Calibri"/>
            <a:cs typeface="Calibri"/>
          </a:endParaRPr>
        </a:p>
      </xdr:txBody>
    </xdr:sp>
    <xdr:clientData/>
  </xdr:twoCellAnchor>
  <xdr:twoCellAnchor>
    <xdr:from>
      <xdr:col>19</xdr:col>
      <xdr:colOff>63374</xdr:colOff>
      <xdr:row>12</xdr:row>
      <xdr:rowOff>59344</xdr:rowOff>
    </xdr:from>
    <xdr:to>
      <xdr:col>22</xdr:col>
      <xdr:colOff>66978</xdr:colOff>
      <xdr:row>16</xdr:row>
      <xdr:rowOff>25003</xdr:rowOff>
    </xdr:to>
    <xdr:sp macro="" textlink="J7">
      <xdr:nvSpPr>
        <xdr:cNvPr id="14" name="Rectangle 13">
          <a:extLst>
            <a:ext uri="{FF2B5EF4-FFF2-40B4-BE49-F238E27FC236}">
              <a16:creationId xmlns:a16="http://schemas.microsoft.com/office/drawing/2014/main" id="{C1F6F196-0304-4F2A-8B3B-2883F2F8B64E}"/>
            </a:ext>
          </a:extLst>
        </xdr:cNvPr>
        <xdr:cNvSpPr/>
      </xdr:nvSpPr>
      <xdr:spPr>
        <a:xfrm>
          <a:off x="13144374" y="2392969"/>
          <a:ext cx="1813354" cy="72765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marL="0" indent="0" algn="ctr"/>
          <a:fld id="{EC433A4F-46B0-4080-AE43-CEFA784020E3}" type="TxLink">
            <a:rPr lang="en-US" sz="2600" b="1" i="0" u="none" strike="noStrike">
              <a:solidFill>
                <a:schemeClr val="bg1"/>
              </a:solidFill>
              <a:latin typeface="Calibri"/>
              <a:ea typeface="Calibri"/>
              <a:cs typeface="Calibri"/>
            </a:rPr>
            <a:pPr marL="0" indent="0" algn="ctr"/>
            <a:t>120</a:t>
          </a:fld>
          <a:endParaRPr lang="en-IN" sz="2600" b="1" i="0" u="none" strike="noStrike">
            <a:solidFill>
              <a:schemeClr val="bg1"/>
            </a:solidFill>
            <a:latin typeface="Calibri"/>
            <a:ea typeface="Calibri"/>
            <a:cs typeface="Calibri"/>
          </a:endParaRPr>
        </a:p>
      </xdr:txBody>
    </xdr:sp>
    <xdr:clientData/>
  </xdr:twoCellAnchor>
  <xdr:twoCellAnchor>
    <xdr:from>
      <xdr:col>25</xdr:col>
      <xdr:colOff>329820</xdr:colOff>
      <xdr:row>12</xdr:row>
      <xdr:rowOff>66700</xdr:rowOff>
    </xdr:from>
    <xdr:to>
      <xdr:col>28</xdr:col>
      <xdr:colOff>343721</xdr:colOff>
      <xdr:row>16</xdr:row>
      <xdr:rowOff>32359</xdr:rowOff>
    </xdr:to>
    <xdr:sp macro="" textlink="M7">
      <xdr:nvSpPr>
        <xdr:cNvPr id="15" name="Rectangle 14">
          <a:extLst>
            <a:ext uri="{FF2B5EF4-FFF2-40B4-BE49-F238E27FC236}">
              <a16:creationId xmlns:a16="http://schemas.microsoft.com/office/drawing/2014/main" id="{FB3E0405-9529-431D-895F-F8912C16D5A4}"/>
            </a:ext>
          </a:extLst>
        </xdr:cNvPr>
        <xdr:cNvSpPr/>
      </xdr:nvSpPr>
      <xdr:spPr>
        <a:xfrm>
          <a:off x="17030320" y="2400325"/>
          <a:ext cx="1823651" cy="727659"/>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fld id="{F1B23FC0-A869-4F02-9CFA-75E992AF7859}" type="TxLink">
            <a:rPr lang="en-US" sz="2400" b="1" i="0" u="none" strike="noStrike">
              <a:solidFill>
                <a:schemeClr val="bg1"/>
              </a:solidFill>
              <a:latin typeface="Calibri"/>
              <a:ea typeface="Calibri"/>
              <a:cs typeface="Calibri"/>
            </a:rPr>
            <a:pPr algn="ctr"/>
            <a:t>160297.4167</a:t>
          </a:fld>
          <a:endParaRPr lang="en-IN" sz="1100" b="1">
            <a:solidFill>
              <a:schemeClr val="bg1"/>
            </a:solidFill>
          </a:endParaRPr>
        </a:p>
      </xdr:txBody>
    </xdr:sp>
    <xdr:clientData/>
  </xdr:twoCellAnchor>
  <xdr:twoCellAnchor>
    <xdr:from>
      <xdr:col>6</xdr:col>
      <xdr:colOff>482809</xdr:colOff>
      <xdr:row>9</xdr:row>
      <xdr:rowOff>110511</xdr:rowOff>
    </xdr:from>
    <xdr:to>
      <xdr:col>10</xdr:col>
      <xdr:colOff>559438</xdr:colOff>
      <xdr:row>12</xdr:row>
      <xdr:rowOff>88939</xdr:rowOff>
    </xdr:to>
    <xdr:sp macro="" textlink="">
      <xdr:nvSpPr>
        <xdr:cNvPr id="16" name="Rectangle 15">
          <a:extLst>
            <a:ext uri="{FF2B5EF4-FFF2-40B4-BE49-F238E27FC236}">
              <a16:creationId xmlns:a16="http://schemas.microsoft.com/office/drawing/2014/main" id="{DC86D119-BCA3-3B2D-65F8-9E150A9D0BA7}"/>
            </a:ext>
          </a:extLst>
        </xdr:cNvPr>
        <xdr:cNvSpPr/>
      </xdr:nvSpPr>
      <xdr:spPr>
        <a:xfrm>
          <a:off x="4721434" y="1872636"/>
          <a:ext cx="2727754" cy="549928"/>
        </a:xfrm>
        <a:prstGeom prst="rect">
          <a:avLst/>
        </a:prstGeom>
        <a:solidFill>
          <a:sysClr val="window" lastClr="FFFFFF"/>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b"/>
        <a:lstStyle/>
        <a:p>
          <a:pPr algn="ctr"/>
          <a:r>
            <a:rPr lang="en-IN" sz="2400" b="1" cap="none" spc="0">
              <a:ln w="0"/>
              <a:solidFill>
                <a:schemeClr val="accent4">
                  <a:lumMod val="75000"/>
                </a:schemeClr>
              </a:solidFill>
              <a:effectLst>
                <a:outerShdw blurRad="38100" dist="19050" dir="2700000" algn="tl" rotWithShape="0">
                  <a:schemeClr val="dk1">
                    <a:alpha val="40000"/>
                  </a:schemeClr>
                </a:outerShdw>
              </a:effectLst>
            </a:rPr>
            <a:t>Total</a:t>
          </a:r>
          <a:r>
            <a:rPr lang="en-IN" sz="2400" b="1" cap="none" spc="0" baseline="0">
              <a:ln w="0"/>
              <a:solidFill>
                <a:schemeClr val="accent4">
                  <a:lumMod val="75000"/>
                </a:schemeClr>
              </a:solidFill>
              <a:effectLst>
                <a:outerShdw blurRad="38100" dist="19050" dir="2700000" algn="tl" rotWithShape="0">
                  <a:schemeClr val="dk1">
                    <a:alpha val="40000"/>
                  </a:schemeClr>
                </a:outerShdw>
              </a:effectLst>
            </a:rPr>
            <a:t> Sale</a:t>
          </a:r>
          <a:endParaRPr lang="en-IN" sz="2400" b="1" cap="none" spc="0">
            <a:ln w="0"/>
            <a:solidFill>
              <a:schemeClr val="accent4">
                <a:lumMod val="75000"/>
              </a:schemeClr>
            </a:solidFill>
            <a:effectLst>
              <a:outerShdw blurRad="38100" dist="19050" dir="2700000" algn="tl" rotWithShape="0">
                <a:schemeClr val="dk1">
                  <a:alpha val="40000"/>
                </a:schemeClr>
              </a:outerShdw>
            </a:effectLst>
          </a:endParaRPr>
        </a:p>
      </xdr:txBody>
    </xdr:sp>
    <xdr:clientData/>
  </xdr:twoCellAnchor>
  <xdr:twoCellAnchor>
    <xdr:from>
      <xdr:col>12</xdr:col>
      <xdr:colOff>422189</xdr:colOff>
      <xdr:row>9</xdr:row>
      <xdr:rowOff>130602</xdr:rowOff>
    </xdr:from>
    <xdr:to>
      <xdr:col>15</xdr:col>
      <xdr:colOff>580338</xdr:colOff>
      <xdr:row>12</xdr:row>
      <xdr:rowOff>109030</xdr:rowOff>
    </xdr:to>
    <xdr:sp macro="" textlink="">
      <xdr:nvSpPr>
        <xdr:cNvPr id="18" name="Rectangle 17">
          <a:extLst>
            <a:ext uri="{FF2B5EF4-FFF2-40B4-BE49-F238E27FC236}">
              <a16:creationId xmlns:a16="http://schemas.microsoft.com/office/drawing/2014/main" id="{FE39633E-E1B1-441E-961D-2A152133B295}"/>
            </a:ext>
          </a:extLst>
        </xdr:cNvPr>
        <xdr:cNvSpPr/>
      </xdr:nvSpPr>
      <xdr:spPr>
        <a:xfrm>
          <a:off x="8518439" y="1892727"/>
          <a:ext cx="2729899" cy="549928"/>
        </a:xfrm>
        <a:prstGeom prst="rect">
          <a:avLst/>
        </a:prstGeom>
        <a:solidFill>
          <a:sysClr val="window" lastClr="FFFFFF"/>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marL="0" indent="0" algn="l"/>
          <a:r>
            <a:rPr lang="en-IN" sz="2400" b="1" cap="none" spc="0">
              <a:ln w="0"/>
              <a:solidFill>
                <a:schemeClr val="accent4">
                  <a:lumMod val="75000"/>
                </a:schemeClr>
              </a:solidFill>
              <a:effectLst>
                <a:outerShdw blurRad="38100" dist="19050" dir="2700000" algn="tl" rotWithShape="0">
                  <a:schemeClr val="dk1">
                    <a:alpha val="40000"/>
                  </a:schemeClr>
                </a:outerShdw>
              </a:effectLst>
              <a:latin typeface="+mn-lt"/>
              <a:ea typeface="+mn-ea"/>
              <a:cs typeface="+mn-cs"/>
            </a:rPr>
            <a:t>Total Quantity Sold</a:t>
          </a:r>
        </a:p>
      </xdr:txBody>
    </xdr:sp>
    <xdr:clientData/>
  </xdr:twoCellAnchor>
  <xdr:twoCellAnchor>
    <xdr:from>
      <xdr:col>18</xdr:col>
      <xdr:colOff>65215</xdr:colOff>
      <xdr:row>9</xdr:row>
      <xdr:rowOff>58349</xdr:rowOff>
    </xdr:from>
    <xdr:to>
      <xdr:col>22</xdr:col>
      <xdr:colOff>379969</xdr:colOff>
      <xdr:row>12</xdr:row>
      <xdr:rowOff>36777</xdr:rowOff>
    </xdr:to>
    <xdr:sp macro="" textlink="">
      <xdr:nvSpPr>
        <xdr:cNvPr id="19" name="Rectangle 18">
          <a:extLst>
            <a:ext uri="{FF2B5EF4-FFF2-40B4-BE49-F238E27FC236}">
              <a16:creationId xmlns:a16="http://schemas.microsoft.com/office/drawing/2014/main" id="{1DE4CF8F-7925-41D9-9086-6DEAC583D480}"/>
            </a:ext>
          </a:extLst>
        </xdr:cNvPr>
        <xdr:cNvSpPr/>
      </xdr:nvSpPr>
      <xdr:spPr>
        <a:xfrm>
          <a:off x="12542965" y="1820474"/>
          <a:ext cx="2727754" cy="549928"/>
        </a:xfrm>
        <a:prstGeom prst="rect">
          <a:avLst/>
        </a:prstGeom>
        <a:solidFill>
          <a:sysClr val="window" lastClr="FFFFFF"/>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marL="0" indent="0" algn="ctr"/>
          <a:r>
            <a:rPr lang="en-IN" sz="2400" b="1" cap="none" spc="0">
              <a:ln w="0"/>
              <a:solidFill>
                <a:schemeClr val="accent4">
                  <a:lumMod val="75000"/>
                </a:schemeClr>
              </a:solidFill>
              <a:effectLst>
                <a:outerShdw blurRad="38100" dist="19050" dir="2700000" algn="tl" rotWithShape="0">
                  <a:schemeClr val="dk1">
                    <a:alpha val="40000"/>
                  </a:schemeClr>
                </a:outerShdw>
              </a:effectLst>
              <a:latin typeface="+mn-lt"/>
              <a:ea typeface="+mn-ea"/>
              <a:cs typeface="+mn-cs"/>
            </a:rPr>
            <a:t>Total Order</a:t>
          </a:r>
        </a:p>
      </xdr:txBody>
    </xdr:sp>
    <xdr:clientData/>
  </xdr:twoCellAnchor>
  <xdr:twoCellAnchor>
    <xdr:from>
      <xdr:col>24</xdr:col>
      <xdr:colOff>267728</xdr:colOff>
      <xdr:row>9</xdr:row>
      <xdr:rowOff>45480</xdr:rowOff>
    </xdr:from>
    <xdr:to>
      <xdr:col>29</xdr:col>
      <xdr:colOff>229114</xdr:colOff>
      <xdr:row>12</xdr:row>
      <xdr:rowOff>23908</xdr:rowOff>
    </xdr:to>
    <xdr:sp macro="" textlink="">
      <xdr:nvSpPr>
        <xdr:cNvPr id="20" name="Rectangle 19">
          <a:extLst>
            <a:ext uri="{FF2B5EF4-FFF2-40B4-BE49-F238E27FC236}">
              <a16:creationId xmlns:a16="http://schemas.microsoft.com/office/drawing/2014/main" id="{335EA963-AE71-4791-BAAB-90487EB147DC}"/>
            </a:ext>
          </a:extLst>
        </xdr:cNvPr>
        <xdr:cNvSpPr/>
      </xdr:nvSpPr>
      <xdr:spPr>
        <a:xfrm>
          <a:off x="16364978" y="1807605"/>
          <a:ext cx="2977636" cy="549928"/>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accent4">
                  <a:lumMod val="75000"/>
                </a:schemeClr>
              </a:solidFill>
            </a:rPr>
            <a:t>Average Order  Value</a:t>
          </a:r>
        </a:p>
      </xdr:txBody>
    </xdr:sp>
    <xdr:clientData/>
  </xdr:twoCellAnchor>
  <xdr:twoCellAnchor editAs="oneCell">
    <xdr:from>
      <xdr:col>42</xdr:col>
      <xdr:colOff>472775</xdr:colOff>
      <xdr:row>33</xdr:row>
      <xdr:rowOff>72925</xdr:rowOff>
    </xdr:from>
    <xdr:to>
      <xdr:col>46</xdr:col>
      <xdr:colOff>365125</xdr:colOff>
      <xdr:row>48</xdr:row>
      <xdr:rowOff>127000</xdr:rowOff>
    </xdr:to>
    <mc:AlternateContent xmlns:mc="http://schemas.openxmlformats.org/markup-compatibility/2006">
      <mc:Choice xmlns:a14="http://schemas.microsoft.com/office/drawing/2010/main" Requires="a14">
        <xdr:graphicFrame macro="">
          <xdr:nvGraphicFramePr>
            <xdr:cNvPr id="21" name="City">
              <a:extLst>
                <a:ext uri="{FF2B5EF4-FFF2-40B4-BE49-F238E27FC236}">
                  <a16:creationId xmlns:a16="http://schemas.microsoft.com/office/drawing/2014/main" id="{B5898719-B1E7-4A19-8133-A859CE35484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7428525" y="6407050"/>
              <a:ext cx="2305350" cy="291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508100</xdr:colOff>
      <xdr:row>51</xdr:row>
      <xdr:rowOff>31749</xdr:rowOff>
    </xdr:from>
    <xdr:to>
      <xdr:col>46</xdr:col>
      <xdr:colOff>476249</xdr:colOff>
      <xdr:row>69</xdr:row>
      <xdr:rowOff>15874</xdr:rowOff>
    </xdr:to>
    <mc:AlternateContent xmlns:mc="http://schemas.openxmlformats.org/markup-compatibility/2006">
      <mc:Choice xmlns:a14="http://schemas.microsoft.com/office/drawing/2010/main" Requires="a14">
        <xdr:graphicFrame macro="">
          <xdr:nvGraphicFramePr>
            <xdr:cNvPr id="22" name="Product">
              <a:extLst>
                <a:ext uri="{FF2B5EF4-FFF2-40B4-BE49-F238E27FC236}">
                  <a16:creationId xmlns:a16="http://schemas.microsoft.com/office/drawing/2014/main" id="{4E42A0E7-5B8D-4E88-9DB7-0D0D3E644F5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7463850" y="9794874"/>
              <a:ext cx="2381149" cy="3413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402525</xdr:colOff>
      <xdr:row>16</xdr:row>
      <xdr:rowOff>130633</xdr:rowOff>
    </xdr:from>
    <xdr:to>
      <xdr:col>46</xdr:col>
      <xdr:colOff>476250</xdr:colOff>
      <xdr:row>32</xdr:row>
      <xdr:rowOff>79375</xdr:rowOff>
    </xdr:to>
    <mc:AlternateContent xmlns:mc="http://schemas.openxmlformats.org/markup-compatibility/2006">
      <mc:Choice xmlns:a14="http://schemas.microsoft.com/office/drawing/2010/main" Requires="a14">
        <xdr:graphicFrame macro="">
          <xdr:nvGraphicFramePr>
            <xdr:cNvPr id="23" name="Months (month)">
              <a:extLst>
                <a:ext uri="{FF2B5EF4-FFF2-40B4-BE49-F238E27FC236}">
                  <a16:creationId xmlns:a16="http://schemas.microsoft.com/office/drawing/2014/main" id="{990C6335-E800-46F5-A3AA-043D0CDADAF4}"/>
                </a:ext>
              </a:extLst>
            </xdr:cNvPr>
            <xdr:cNvGraphicFramePr/>
          </xdr:nvGraphicFramePr>
          <xdr:xfrm>
            <a:off x="0" y="0"/>
            <a:ext cx="0" cy="0"/>
          </xdr:xfrm>
          <a:graphic>
            <a:graphicData uri="http://schemas.microsoft.com/office/drawing/2010/slicer">
              <sle:slicer xmlns:sle="http://schemas.microsoft.com/office/drawing/2010/slicer" name="Months (month)"/>
            </a:graphicData>
          </a:graphic>
        </xdr:graphicFrame>
      </mc:Choice>
      <mc:Fallback>
        <xdr:sp macro="" textlink="">
          <xdr:nvSpPr>
            <xdr:cNvPr id="0" name=""/>
            <xdr:cNvSpPr>
              <a:spLocks noTextEdit="1"/>
            </xdr:cNvSpPr>
          </xdr:nvSpPr>
          <xdr:spPr>
            <a:xfrm>
              <a:off x="27358275" y="3226258"/>
              <a:ext cx="2486725" cy="2996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I VARSHNEY" refreshedDate="46113.604671759262" createdVersion="8" refreshedVersion="8" minRefreshableVersion="3" recordCount="120" xr:uid="{D9E6A212-037D-4B62-9D7D-65F25A1354DE}">
  <cacheSource type="worksheet">
    <worksheetSource name="order_data"/>
  </cacheSource>
  <cacheFields count="11">
    <cacheField name="Order_ID" numFmtId="0">
      <sharedItems containsSemiMixedTypes="0" containsString="0" containsNumber="1" containsInteger="1" minValue="1001" maxValue="1120"/>
    </cacheField>
    <cacheField name="Date" numFmtId="0">
      <sharedItems/>
    </cacheField>
    <cacheField name="City" numFmtId="0">
      <sharedItems count="7">
        <s v="Mumbai"/>
        <s v="Pune"/>
        <s v="Delhi"/>
        <s v="Chennai"/>
        <s v="Bangalore"/>
        <s v="Kolkata"/>
        <s v="Hyderabad"/>
      </sharedItems>
    </cacheField>
    <cacheField name="Product" numFmtId="0">
      <sharedItems count="8">
        <s v="Mouse"/>
        <s v="Monitor"/>
        <s v="Laptop"/>
        <s v="Printer"/>
        <s v="Headphones"/>
        <s v="Tablet"/>
        <s v="Webcam"/>
        <s v="Keyboard"/>
      </sharedItems>
    </cacheField>
    <cacheField name="Category" numFmtId="0">
      <sharedItems count="2">
        <s v="Accessories"/>
        <s v="Electronic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712" maxValue="59449"/>
    </cacheField>
    <cacheField name="Total_Sales" numFmtId="0">
      <sharedItems containsSemiMixedTypes="0" containsString="0" containsNumber="1" containsInteger="1" minValue="732" maxValue="585280"/>
    </cacheField>
    <cacheField name="month" numFmtId="165">
      <sharedItems containsSemiMixedTypes="0" containsNonDate="0" containsDate="1" containsString="0" minDate="2025-01-02T00:00:00" maxDate="2025-06-30T00:00:00" count="87">
        <d v="2025-03-12T00:00:00"/>
        <d v="2025-01-27T00:00:00"/>
        <d v="2025-01-09T00:00:00"/>
        <d v="2025-05-10T00:00:00"/>
        <d v="2025-06-16T00:00:00"/>
        <d v="2025-05-31T00:00:00"/>
        <d v="2025-04-19T00:00:00"/>
        <d v="2025-03-28T00:00:00"/>
        <d v="2025-04-02T00:00:00"/>
        <d v="2025-01-12T00:00:00"/>
        <d v="2025-04-07T00:00:00"/>
        <d v="2025-04-03T00:00:00"/>
        <d v="2025-06-19T00:00:00"/>
        <d v="2025-03-01T00:00:00"/>
        <d v="2025-04-27T00:00:00"/>
        <d v="2025-04-01T00:00:00"/>
        <d v="2025-06-12T00:00:00"/>
        <d v="2025-04-08T00:00:00"/>
        <d v="2025-01-15T00:00:00"/>
        <d v="2025-03-10T00:00:00"/>
        <d v="2025-03-22T00:00:00"/>
        <d v="2025-06-14T00:00:00"/>
        <d v="2025-03-05T00:00:00"/>
        <d v="2025-05-30T00:00:00"/>
        <d v="2025-05-11T00:00:00"/>
        <d v="2025-01-29T00:00:00"/>
        <d v="2025-01-17T00:00:00"/>
        <d v="2025-05-16T00:00:00"/>
        <d v="2025-05-18T00:00:00"/>
        <d v="2025-03-17T00:00:00"/>
        <d v="2025-03-09T00:00:00"/>
        <d v="2025-06-10T00:00:00"/>
        <d v="2025-02-11T00:00:00"/>
        <d v="2025-05-06T00:00:00"/>
        <d v="2025-03-20T00:00:00"/>
        <d v="2025-05-26T00:00:00"/>
        <d v="2025-01-18T00:00:00"/>
        <d v="2025-05-02T00:00:00"/>
        <d v="2025-06-05T00:00:00"/>
        <d v="2025-06-26T00:00:00"/>
        <d v="2025-01-31T00:00:00"/>
        <d v="2025-01-06T00:00:00"/>
        <d v="2025-01-02T00:00:00"/>
        <d v="2025-03-02T00:00:00"/>
        <d v="2025-02-03T00:00:00"/>
        <d v="2025-01-25T00:00:00"/>
        <d v="2025-04-16T00:00:00"/>
        <d v="2025-04-14T00:00:00"/>
        <d v="2025-02-19T00:00:00"/>
        <d v="2025-02-16T00:00:00"/>
        <d v="2025-01-20T00:00:00"/>
        <d v="2025-05-19T00:00:00"/>
        <d v="2025-02-24T00:00:00"/>
        <d v="2025-05-05T00:00:00"/>
        <d v="2025-01-13T00:00:00"/>
        <d v="2025-02-17T00:00:00"/>
        <d v="2025-01-11T00:00:00"/>
        <d v="2025-06-21T00:00:00"/>
        <d v="2025-04-12T00:00:00"/>
        <d v="2025-01-19T00:00:00"/>
        <d v="2025-01-26T00:00:00"/>
        <d v="2025-03-14T00:00:00"/>
        <d v="2025-03-19T00:00:00"/>
        <d v="2025-01-28T00:00:00"/>
        <d v="2025-06-04T00:00:00"/>
        <d v="2025-03-06T00:00:00"/>
        <d v="2025-03-27T00:00:00"/>
        <d v="2025-04-24T00:00:00"/>
        <d v="2025-04-05T00:00:00"/>
        <d v="2025-05-24T00:00:00"/>
        <d v="2025-02-09T00:00:00"/>
        <d v="2025-06-29T00:00:00"/>
        <d v="2025-05-01T00:00:00"/>
        <d v="2025-06-18T00:00:00"/>
        <d v="2025-03-08T00:00:00"/>
        <d v="2025-06-02T00:00:00"/>
        <d v="2025-05-28T00:00:00"/>
        <d v="2025-04-22T00:00:00"/>
        <d v="2025-03-21T00:00:00"/>
        <d v="2025-06-28T00:00:00"/>
        <d v="2025-06-20T00:00:00"/>
        <d v="2025-02-23T00:00:00"/>
        <d v="2025-02-13T00:00:00"/>
        <d v="2025-02-20T00:00:00"/>
        <d v="2025-06-11T00:00:00"/>
        <d v="2025-04-13T00:00:00"/>
        <d v="2025-04-29T00:00:00"/>
      </sharedItems>
      <fieldGroup par="10"/>
    </cacheField>
    <cacheField name="Days (month)" numFmtId="0" databaseField="0">
      <fieldGroup base="8">
        <rangePr groupBy="days" startDate="2025-01-02T00:00:00" endDate="2025-06-30T00:00:00"/>
        <groupItems count="368">
          <s v="&lt;02-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6-25"/>
        </groupItems>
      </fieldGroup>
    </cacheField>
    <cacheField name="Months (month)" numFmtId="0" databaseField="0">
      <fieldGroup base="8">
        <rangePr groupBy="months" startDate="2025-01-02T00:00:00" endDate="2025-06-30T00:00:00"/>
        <groupItems count="14">
          <s v="&lt;02-01-25"/>
          <s v="Jan"/>
          <s v="Feb"/>
          <s v="Mar"/>
          <s v="Apr"/>
          <s v="May"/>
          <s v="Jun"/>
          <s v="Jul"/>
          <s v="Aug"/>
          <s v="Sep"/>
          <s v="Oct"/>
          <s v="Nov"/>
          <s v="Dec"/>
          <s v="&gt;30-06-25"/>
        </groupItems>
      </fieldGroup>
    </cacheField>
  </cacheFields>
  <extLst>
    <ext xmlns:x14="http://schemas.microsoft.com/office/spreadsheetml/2009/9/main" uri="{725AE2AE-9491-48be-B2B4-4EB974FC3084}">
      <x14:pivotCacheDefinition pivotCacheId="8425241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001"/>
    <s v="2025-03-12"/>
    <x v="0"/>
    <x v="0"/>
    <x v="0"/>
    <n v="1"/>
    <n v="49098"/>
    <n v="49098"/>
    <x v="0"/>
  </r>
  <r>
    <n v="1002"/>
    <s v="2025-01-27"/>
    <x v="1"/>
    <x v="1"/>
    <x v="1"/>
    <n v="3"/>
    <n v="48765"/>
    <n v="146295"/>
    <x v="1"/>
  </r>
  <r>
    <n v="1003"/>
    <s v="2025-01-09"/>
    <x v="2"/>
    <x v="0"/>
    <x v="0"/>
    <n v="10"/>
    <n v="28151"/>
    <n v="281510"/>
    <x v="2"/>
  </r>
  <r>
    <n v="1004"/>
    <s v="2025-05-10"/>
    <x v="3"/>
    <x v="0"/>
    <x v="0"/>
    <n v="4"/>
    <n v="15747"/>
    <n v="62988"/>
    <x v="3"/>
  </r>
  <r>
    <n v="1005"/>
    <s v="2025-06-16"/>
    <x v="1"/>
    <x v="2"/>
    <x v="1"/>
    <n v="9"/>
    <n v="13531"/>
    <n v="121779"/>
    <x v="4"/>
  </r>
  <r>
    <n v="1006"/>
    <s v="2025-05-31"/>
    <x v="4"/>
    <x v="3"/>
    <x v="1"/>
    <n v="4"/>
    <n v="29939"/>
    <n v="119756"/>
    <x v="5"/>
  </r>
  <r>
    <n v="1007"/>
    <s v="2025-04-19"/>
    <x v="4"/>
    <x v="2"/>
    <x v="1"/>
    <n v="3"/>
    <n v="46253"/>
    <n v="138759"/>
    <x v="6"/>
  </r>
  <r>
    <n v="1008"/>
    <s v="2025-03-28"/>
    <x v="2"/>
    <x v="4"/>
    <x v="0"/>
    <n v="3"/>
    <n v="14610"/>
    <n v="43830"/>
    <x v="7"/>
  </r>
  <r>
    <n v="1009"/>
    <s v="2025-04-02"/>
    <x v="5"/>
    <x v="0"/>
    <x v="0"/>
    <n v="7"/>
    <n v="6838"/>
    <n v="47866"/>
    <x v="8"/>
  </r>
  <r>
    <n v="1010"/>
    <s v="2025-01-12"/>
    <x v="1"/>
    <x v="5"/>
    <x v="1"/>
    <n v="10"/>
    <n v="17835"/>
    <n v="178350"/>
    <x v="9"/>
  </r>
  <r>
    <n v="1011"/>
    <s v="2025-04-07"/>
    <x v="2"/>
    <x v="6"/>
    <x v="0"/>
    <n v="9"/>
    <n v="8680"/>
    <n v="78120"/>
    <x v="10"/>
  </r>
  <r>
    <n v="1012"/>
    <s v="2025-04-03"/>
    <x v="3"/>
    <x v="4"/>
    <x v="0"/>
    <n v="10"/>
    <n v="58528"/>
    <n v="585280"/>
    <x v="11"/>
  </r>
  <r>
    <n v="1013"/>
    <s v="2025-06-19"/>
    <x v="0"/>
    <x v="1"/>
    <x v="1"/>
    <n v="2"/>
    <n v="3503"/>
    <n v="7006"/>
    <x v="12"/>
  </r>
  <r>
    <n v="1014"/>
    <s v="2025-03-01"/>
    <x v="5"/>
    <x v="4"/>
    <x v="0"/>
    <n v="2"/>
    <n v="56554"/>
    <n v="113108"/>
    <x v="13"/>
  </r>
  <r>
    <n v="1015"/>
    <s v="2025-04-27"/>
    <x v="1"/>
    <x v="0"/>
    <x v="0"/>
    <n v="7"/>
    <n v="18717"/>
    <n v="131019"/>
    <x v="14"/>
  </r>
  <r>
    <n v="1016"/>
    <s v="2025-04-01"/>
    <x v="0"/>
    <x v="5"/>
    <x v="1"/>
    <n v="3"/>
    <n v="24760"/>
    <n v="74280"/>
    <x v="15"/>
  </r>
  <r>
    <n v="1017"/>
    <s v="2025-06-12"/>
    <x v="0"/>
    <x v="4"/>
    <x v="0"/>
    <n v="2"/>
    <n v="40420"/>
    <n v="80840"/>
    <x v="16"/>
  </r>
  <r>
    <n v="1018"/>
    <s v="2025-04-08"/>
    <x v="4"/>
    <x v="1"/>
    <x v="1"/>
    <n v="3"/>
    <n v="30794"/>
    <n v="92382"/>
    <x v="17"/>
  </r>
  <r>
    <n v="1019"/>
    <s v="2025-01-15"/>
    <x v="0"/>
    <x v="1"/>
    <x v="1"/>
    <n v="6"/>
    <n v="55737"/>
    <n v="334422"/>
    <x v="18"/>
  </r>
  <r>
    <n v="1020"/>
    <s v="2025-03-10"/>
    <x v="2"/>
    <x v="2"/>
    <x v="1"/>
    <n v="6"/>
    <n v="26790"/>
    <n v="160740"/>
    <x v="19"/>
  </r>
  <r>
    <n v="1021"/>
    <s v="2025-03-22"/>
    <x v="0"/>
    <x v="1"/>
    <x v="1"/>
    <n v="10"/>
    <n v="57933"/>
    <n v="579330"/>
    <x v="20"/>
  </r>
  <r>
    <n v="1022"/>
    <s v="2025-06-14"/>
    <x v="6"/>
    <x v="6"/>
    <x v="0"/>
    <n v="7"/>
    <n v="58478"/>
    <n v="409346"/>
    <x v="21"/>
  </r>
  <r>
    <n v="1023"/>
    <s v="2025-03-05"/>
    <x v="1"/>
    <x v="7"/>
    <x v="0"/>
    <n v="5"/>
    <n v="9650"/>
    <n v="48250"/>
    <x v="22"/>
  </r>
  <r>
    <n v="1024"/>
    <s v="2025-05-30"/>
    <x v="6"/>
    <x v="4"/>
    <x v="0"/>
    <n v="10"/>
    <n v="28577"/>
    <n v="285770"/>
    <x v="23"/>
  </r>
  <r>
    <n v="1025"/>
    <s v="2025-05-11"/>
    <x v="6"/>
    <x v="5"/>
    <x v="1"/>
    <n v="4"/>
    <n v="9565"/>
    <n v="38260"/>
    <x v="24"/>
  </r>
  <r>
    <n v="1026"/>
    <s v="2025-01-29"/>
    <x v="0"/>
    <x v="0"/>
    <x v="0"/>
    <n v="1"/>
    <n v="56933"/>
    <n v="56933"/>
    <x v="25"/>
  </r>
  <r>
    <n v="1027"/>
    <s v="2025-01-17"/>
    <x v="6"/>
    <x v="7"/>
    <x v="0"/>
    <n v="7"/>
    <n v="39586"/>
    <n v="277102"/>
    <x v="26"/>
  </r>
  <r>
    <n v="1028"/>
    <s v="2025-05-16"/>
    <x v="4"/>
    <x v="3"/>
    <x v="1"/>
    <n v="10"/>
    <n v="31174"/>
    <n v="311740"/>
    <x v="27"/>
  </r>
  <r>
    <n v="1029"/>
    <s v="2025-05-18"/>
    <x v="5"/>
    <x v="2"/>
    <x v="1"/>
    <n v="2"/>
    <n v="45176"/>
    <n v="90352"/>
    <x v="28"/>
  </r>
  <r>
    <n v="1030"/>
    <s v="2025-03-17"/>
    <x v="6"/>
    <x v="4"/>
    <x v="0"/>
    <n v="6"/>
    <n v="7810"/>
    <n v="46860"/>
    <x v="29"/>
  </r>
  <r>
    <n v="1031"/>
    <s v="2025-03-09"/>
    <x v="3"/>
    <x v="7"/>
    <x v="0"/>
    <n v="8"/>
    <n v="712"/>
    <n v="5696"/>
    <x v="30"/>
  </r>
  <r>
    <n v="1032"/>
    <s v="2025-06-10"/>
    <x v="4"/>
    <x v="7"/>
    <x v="0"/>
    <n v="9"/>
    <n v="7473"/>
    <n v="67257"/>
    <x v="31"/>
  </r>
  <r>
    <n v="1033"/>
    <s v="2025-02-11"/>
    <x v="3"/>
    <x v="1"/>
    <x v="1"/>
    <n v="3"/>
    <n v="25004"/>
    <n v="75012"/>
    <x v="32"/>
  </r>
  <r>
    <n v="1034"/>
    <s v="2025-05-06"/>
    <x v="2"/>
    <x v="2"/>
    <x v="1"/>
    <n v="10"/>
    <n v="21743"/>
    <n v="217430"/>
    <x v="33"/>
  </r>
  <r>
    <n v="1035"/>
    <s v="2025-03-20"/>
    <x v="0"/>
    <x v="0"/>
    <x v="0"/>
    <n v="6"/>
    <n v="58087"/>
    <n v="348522"/>
    <x v="34"/>
  </r>
  <r>
    <n v="1036"/>
    <s v="2025-05-26"/>
    <x v="2"/>
    <x v="2"/>
    <x v="1"/>
    <n v="4"/>
    <n v="58041"/>
    <n v="232164"/>
    <x v="35"/>
  </r>
  <r>
    <n v="1037"/>
    <s v="2025-01-18"/>
    <x v="5"/>
    <x v="0"/>
    <x v="0"/>
    <n v="8"/>
    <n v="53978"/>
    <n v="431824"/>
    <x v="36"/>
  </r>
  <r>
    <n v="1038"/>
    <s v="2025-05-02"/>
    <x v="3"/>
    <x v="7"/>
    <x v="0"/>
    <n v="3"/>
    <n v="43737"/>
    <n v="131211"/>
    <x v="37"/>
  </r>
  <r>
    <n v="1039"/>
    <s v="2025-06-05"/>
    <x v="6"/>
    <x v="7"/>
    <x v="0"/>
    <n v="5"/>
    <n v="35081"/>
    <n v="175405"/>
    <x v="38"/>
  </r>
  <r>
    <n v="1040"/>
    <s v="2025-06-26"/>
    <x v="0"/>
    <x v="1"/>
    <x v="1"/>
    <n v="9"/>
    <n v="49997"/>
    <n v="449973"/>
    <x v="39"/>
  </r>
  <r>
    <n v="1041"/>
    <s v="2025-06-16"/>
    <x v="4"/>
    <x v="4"/>
    <x v="0"/>
    <n v="7"/>
    <n v="44519"/>
    <n v="311633"/>
    <x v="4"/>
  </r>
  <r>
    <n v="1042"/>
    <s v="2025-01-31"/>
    <x v="0"/>
    <x v="6"/>
    <x v="0"/>
    <n v="9"/>
    <n v="30088"/>
    <n v="270792"/>
    <x v="40"/>
  </r>
  <r>
    <n v="1043"/>
    <s v="2025-01-06"/>
    <x v="3"/>
    <x v="1"/>
    <x v="1"/>
    <n v="2"/>
    <n v="22656"/>
    <n v="45312"/>
    <x v="41"/>
  </r>
  <r>
    <n v="1044"/>
    <s v="2025-01-02"/>
    <x v="2"/>
    <x v="1"/>
    <x v="1"/>
    <n v="10"/>
    <n v="14932"/>
    <n v="149320"/>
    <x v="42"/>
  </r>
  <r>
    <n v="1045"/>
    <s v="2025-01-09"/>
    <x v="5"/>
    <x v="2"/>
    <x v="1"/>
    <n v="4"/>
    <n v="4917"/>
    <n v="19668"/>
    <x v="2"/>
  </r>
  <r>
    <n v="1046"/>
    <s v="2025-03-02"/>
    <x v="4"/>
    <x v="5"/>
    <x v="1"/>
    <n v="2"/>
    <n v="34195"/>
    <n v="68390"/>
    <x v="43"/>
  </r>
  <r>
    <n v="1047"/>
    <s v="2025-02-03"/>
    <x v="1"/>
    <x v="6"/>
    <x v="0"/>
    <n v="4"/>
    <n v="35839"/>
    <n v="143356"/>
    <x v="44"/>
  </r>
  <r>
    <n v="1048"/>
    <s v="2025-05-02"/>
    <x v="5"/>
    <x v="6"/>
    <x v="0"/>
    <n v="4"/>
    <n v="51920"/>
    <n v="207680"/>
    <x v="37"/>
  </r>
  <r>
    <n v="1049"/>
    <s v="2025-01-25"/>
    <x v="1"/>
    <x v="3"/>
    <x v="1"/>
    <n v="4"/>
    <n v="6681"/>
    <n v="26724"/>
    <x v="45"/>
  </r>
  <r>
    <n v="1050"/>
    <s v="2025-04-16"/>
    <x v="6"/>
    <x v="3"/>
    <x v="1"/>
    <n v="6"/>
    <n v="28259"/>
    <n v="169554"/>
    <x v="46"/>
  </r>
  <r>
    <n v="1051"/>
    <s v="2025-04-14"/>
    <x v="1"/>
    <x v="2"/>
    <x v="1"/>
    <n v="2"/>
    <n v="4472"/>
    <n v="8944"/>
    <x v="47"/>
  </r>
  <r>
    <n v="1052"/>
    <s v="2025-02-19"/>
    <x v="0"/>
    <x v="5"/>
    <x v="1"/>
    <n v="2"/>
    <n v="16795"/>
    <n v="33590"/>
    <x v="48"/>
  </r>
  <r>
    <n v="1053"/>
    <s v="2025-02-16"/>
    <x v="4"/>
    <x v="6"/>
    <x v="0"/>
    <n v="3"/>
    <n v="28148"/>
    <n v="84444"/>
    <x v="49"/>
  </r>
  <r>
    <n v="1054"/>
    <s v="2025-01-20"/>
    <x v="6"/>
    <x v="6"/>
    <x v="0"/>
    <n v="4"/>
    <n v="57810"/>
    <n v="231240"/>
    <x v="50"/>
  </r>
  <r>
    <n v="1055"/>
    <s v="2025-05-19"/>
    <x v="5"/>
    <x v="0"/>
    <x v="0"/>
    <n v="1"/>
    <n v="43238"/>
    <n v="43238"/>
    <x v="51"/>
  </r>
  <r>
    <n v="1056"/>
    <s v="2025-03-02"/>
    <x v="0"/>
    <x v="2"/>
    <x v="1"/>
    <n v="2"/>
    <n v="49885"/>
    <n v="99770"/>
    <x v="43"/>
  </r>
  <r>
    <n v="1057"/>
    <s v="2025-02-24"/>
    <x v="5"/>
    <x v="3"/>
    <x v="1"/>
    <n v="8"/>
    <n v="32046"/>
    <n v="256368"/>
    <x v="52"/>
  </r>
  <r>
    <n v="1058"/>
    <s v="2025-04-08"/>
    <x v="2"/>
    <x v="3"/>
    <x v="1"/>
    <n v="1"/>
    <n v="11289"/>
    <n v="11289"/>
    <x v="17"/>
  </r>
  <r>
    <n v="1059"/>
    <s v="2025-04-27"/>
    <x v="4"/>
    <x v="3"/>
    <x v="1"/>
    <n v="5"/>
    <n v="51884"/>
    <n v="259420"/>
    <x v="14"/>
  </r>
  <r>
    <n v="1060"/>
    <s v="2025-05-05"/>
    <x v="0"/>
    <x v="3"/>
    <x v="1"/>
    <n v="9"/>
    <n v="43876"/>
    <n v="394884"/>
    <x v="53"/>
  </r>
  <r>
    <n v="1061"/>
    <s v="2025-01-15"/>
    <x v="3"/>
    <x v="1"/>
    <x v="1"/>
    <n v="5"/>
    <n v="14767"/>
    <n v="73835"/>
    <x v="18"/>
  </r>
  <r>
    <n v="1062"/>
    <s v="2025-01-13"/>
    <x v="3"/>
    <x v="2"/>
    <x v="1"/>
    <n v="6"/>
    <n v="4246"/>
    <n v="25476"/>
    <x v="54"/>
  </r>
  <r>
    <n v="1063"/>
    <s v="2025-05-16"/>
    <x v="0"/>
    <x v="6"/>
    <x v="0"/>
    <n v="9"/>
    <n v="56383"/>
    <n v="507447"/>
    <x v="27"/>
  </r>
  <r>
    <n v="1064"/>
    <s v="2025-02-17"/>
    <x v="2"/>
    <x v="2"/>
    <x v="1"/>
    <n v="9"/>
    <n v="5750"/>
    <n v="51750"/>
    <x v="55"/>
  </r>
  <r>
    <n v="1065"/>
    <s v="2025-01-31"/>
    <x v="3"/>
    <x v="0"/>
    <x v="0"/>
    <n v="4"/>
    <n v="26961"/>
    <n v="107844"/>
    <x v="40"/>
  </r>
  <r>
    <n v="1066"/>
    <s v="2025-01-11"/>
    <x v="3"/>
    <x v="1"/>
    <x v="1"/>
    <n v="10"/>
    <n v="39462"/>
    <n v="394620"/>
    <x v="56"/>
  </r>
  <r>
    <n v="1067"/>
    <s v="2025-05-30"/>
    <x v="3"/>
    <x v="0"/>
    <x v="0"/>
    <n v="7"/>
    <n v="43581"/>
    <n v="305067"/>
    <x v="23"/>
  </r>
  <r>
    <n v="1068"/>
    <s v="2025-06-21"/>
    <x v="1"/>
    <x v="5"/>
    <x v="1"/>
    <n v="5"/>
    <n v="13886"/>
    <n v="69430"/>
    <x v="57"/>
  </r>
  <r>
    <n v="1069"/>
    <s v="2025-04-12"/>
    <x v="0"/>
    <x v="5"/>
    <x v="1"/>
    <n v="4"/>
    <n v="17907"/>
    <n v="71628"/>
    <x v="58"/>
  </r>
  <r>
    <n v="1070"/>
    <s v="2025-01-19"/>
    <x v="2"/>
    <x v="4"/>
    <x v="0"/>
    <n v="8"/>
    <n v="21220"/>
    <n v="169760"/>
    <x v="59"/>
  </r>
  <r>
    <n v="1071"/>
    <s v="2025-01-26"/>
    <x v="2"/>
    <x v="6"/>
    <x v="0"/>
    <n v="10"/>
    <n v="37396"/>
    <n v="373960"/>
    <x v="60"/>
  </r>
  <r>
    <n v="1072"/>
    <s v="2025-02-03"/>
    <x v="4"/>
    <x v="1"/>
    <x v="1"/>
    <n v="9"/>
    <n v="17880"/>
    <n v="160920"/>
    <x v="44"/>
  </r>
  <r>
    <n v="1073"/>
    <s v="2025-03-14"/>
    <x v="0"/>
    <x v="0"/>
    <x v="0"/>
    <n v="4"/>
    <n v="24717"/>
    <n v="98868"/>
    <x v="61"/>
  </r>
  <r>
    <n v="1074"/>
    <s v="2025-03-19"/>
    <x v="3"/>
    <x v="6"/>
    <x v="0"/>
    <n v="9"/>
    <n v="46607"/>
    <n v="419463"/>
    <x v="62"/>
  </r>
  <r>
    <n v="1075"/>
    <s v="2025-06-19"/>
    <x v="2"/>
    <x v="2"/>
    <x v="1"/>
    <n v="9"/>
    <n v="20120"/>
    <n v="181080"/>
    <x v="12"/>
  </r>
  <r>
    <n v="1076"/>
    <s v="2025-01-28"/>
    <x v="1"/>
    <x v="7"/>
    <x v="0"/>
    <n v="5"/>
    <n v="8064"/>
    <n v="40320"/>
    <x v="63"/>
  </r>
  <r>
    <n v="1077"/>
    <s v="2025-06-04"/>
    <x v="0"/>
    <x v="7"/>
    <x v="0"/>
    <n v="5"/>
    <n v="18965"/>
    <n v="94825"/>
    <x v="64"/>
  </r>
  <r>
    <n v="1078"/>
    <s v="2025-06-12"/>
    <x v="5"/>
    <x v="5"/>
    <x v="1"/>
    <n v="4"/>
    <n v="45555"/>
    <n v="182220"/>
    <x v="16"/>
  </r>
  <r>
    <n v="1079"/>
    <s v="2025-03-06"/>
    <x v="5"/>
    <x v="4"/>
    <x v="0"/>
    <n v="9"/>
    <n v="32516"/>
    <n v="292644"/>
    <x v="65"/>
  </r>
  <r>
    <n v="1080"/>
    <s v="2025-04-19"/>
    <x v="5"/>
    <x v="2"/>
    <x v="1"/>
    <n v="2"/>
    <n v="42068"/>
    <n v="84136"/>
    <x v="6"/>
  </r>
  <r>
    <n v="1081"/>
    <s v="2025-03-27"/>
    <x v="5"/>
    <x v="4"/>
    <x v="0"/>
    <n v="1"/>
    <n v="732"/>
    <n v="732"/>
    <x v="66"/>
  </r>
  <r>
    <n v="1082"/>
    <s v="2025-04-24"/>
    <x v="3"/>
    <x v="7"/>
    <x v="0"/>
    <n v="5"/>
    <n v="11089"/>
    <n v="55445"/>
    <x v="67"/>
  </r>
  <r>
    <n v="1083"/>
    <s v="2025-01-29"/>
    <x v="2"/>
    <x v="3"/>
    <x v="1"/>
    <n v="9"/>
    <n v="1133"/>
    <n v="10197"/>
    <x v="25"/>
  </r>
  <r>
    <n v="1084"/>
    <s v="2025-04-05"/>
    <x v="3"/>
    <x v="7"/>
    <x v="0"/>
    <n v="9"/>
    <n v="2861"/>
    <n v="25749"/>
    <x v="68"/>
  </r>
  <r>
    <n v="1085"/>
    <s v="2025-01-11"/>
    <x v="4"/>
    <x v="7"/>
    <x v="0"/>
    <n v="7"/>
    <n v="8852"/>
    <n v="61964"/>
    <x v="56"/>
  </r>
  <r>
    <n v="1086"/>
    <s v="2025-04-02"/>
    <x v="0"/>
    <x v="5"/>
    <x v="1"/>
    <n v="1"/>
    <n v="59411"/>
    <n v="59411"/>
    <x v="8"/>
  </r>
  <r>
    <n v="1087"/>
    <s v="2025-05-24"/>
    <x v="5"/>
    <x v="1"/>
    <x v="1"/>
    <n v="2"/>
    <n v="23678"/>
    <n v="47356"/>
    <x v="69"/>
  </r>
  <r>
    <n v="1088"/>
    <s v="2025-02-09"/>
    <x v="0"/>
    <x v="3"/>
    <x v="1"/>
    <n v="10"/>
    <n v="49617"/>
    <n v="496170"/>
    <x v="70"/>
  </r>
  <r>
    <n v="1089"/>
    <s v="2025-04-16"/>
    <x v="2"/>
    <x v="7"/>
    <x v="0"/>
    <n v="3"/>
    <n v="58264"/>
    <n v="174792"/>
    <x v="46"/>
  </r>
  <r>
    <n v="1090"/>
    <s v="2025-04-16"/>
    <x v="5"/>
    <x v="7"/>
    <x v="0"/>
    <n v="6"/>
    <n v="51774"/>
    <n v="310644"/>
    <x v="46"/>
  </r>
  <r>
    <n v="1091"/>
    <s v="2025-06-29"/>
    <x v="2"/>
    <x v="1"/>
    <x v="1"/>
    <n v="5"/>
    <n v="10933"/>
    <n v="54665"/>
    <x v="71"/>
  </r>
  <r>
    <n v="1092"/>
    <s v="2025-05-01"/>
    <x v="0"/>
    <x v="3"/>
    <x v="1"/>
    <n v="1"/>
    <n v="56768"/>
    <n v="56768"/>
    <x v="72"/>
  </r>
  <r>
    <n v="1093"/>
    <s v="2025-03-20"/>
    <x v="5"/>
    <x v="1"/>
    <x v="1"/>
    <n v="8"/>
    <n v="23415"/>
    <n v="187320"/>
    <x v="34"/>
  </r>
  <r>
    <n v="1094"/>
    <s v="2025-06-18"/>
    <x v="0"/>
    <x v="1"/>
    <x v="1"/>
    <n v="4"/>
    <n v="2050"/>
    <n v="8200"/>
    <x v="73"/>
  </r>
  <r>
    <n v="1095"/>
    <s v="2025-01-18"/>
    <x v="5"/>
    <x v="3"/>
    <x v="1"/>
    <n v="6"/>
    <n v="18758"/>
    <n v="112548"/>
    <x v="36"/>
  </r>
  <r>
    <n v="1096"/>
    <s v="2025-05-11"/>
    <x v="6"/>
    <x v="4"/>
    <x v="0"/>
    <n v="6"/>
    <n v="42540"/>
    <n v="255240"/>
    <x v="24"/>
  </r>
  <r>
    <n v="1097"/>
    <s v="2025-03-08"/>
    <x v="0"/>
    <x v="5"/>
    <x v="1"/>
    <n v="1"/>
    <n v="8059"/>
    <n v="8059"/>
    <x v="74"/>
  </r>
  <r>
    <n v="1098"/>
    <s v="2025-06-02"/>
    <x v="6"/>
    <x v="4"/>
    <x v="0"/>
    <n v="1"/>
    <n v="7604"/>
    <n v="7604"/>
    <x v="75"/>
  </r>
  <r>
    <n v="1099"/>
    <s v="2025-06-05"/>
    <x v="3"/>
    <x v="5"/>
    <x v="1"/>
    <n v="6"/>
    <n v="29099"/>
    <n v="174594"/>
    <x v="38"/>
  </r>
  <r>
    <n v="1100"/>
    <s v="2025-05-28"/>
    <x v="0"/>
    <x v="0"/>
    <x v="0"/>
    <n v="7"/>
    <n v="59449"/>
    <n v="416143"/>
    <x v="76"/>
  </r>
  <r>
    <n v="1101"/>
    <s v="2025-04-22"/>
    <x v="2"/>
    <x v="4"/>
    <x v="0"/>
    <n v="1"/>
    <n v="46950"/>
    <n v="46950"/>
    <x v="77"/>
  </r>
  <r>
    <n v="1102"/>
    <s v="2025-01-18"/>
    <x v="1"/>
    <x v="1"/>
    <x v="1"/>
    <n v="6"/>
    <n v="28765"/>
    <n v="172590"/>
    <x v="36"/>
  </r>
  <r>
    <n v="1103"/>
    <s v="2025-06-19"/>
    <x v="5"/>
    <x v="5"/>
    <x v="1"/>
    <n v="10"/>
    <n v="21072"/>
    <n v="210720"/>
    <x v="12"/>
  </r>
  <r>
    <n v="1104"/>
    <s v="2025-03-21"/>
    <x v="1"/>
    <x v="0"/>
    <x v="0"/>
    <n v="5"/>
    <n v="33734"/>
    <n v="168670"/>
    <x v="78"/>
  </r>
  <r>
    <n v="1105"/>
    <s v="2025-06-28"/>
    <x v="4"/>
    <x v="3"/>
    <x v="1"/>
    <n v="6"/>
    <n v="26871"/>
    <n v="161226"/>
    <x v="79"/>
  </r>
  <r>
    <n v="1106"/>
    <s v="2025-06-20"/>
    <x v="6"/>
    <x v="7"/>
    <x v="0"/>
    <n v="4"/>
    <n v="28054"/>
    <n v="112216"/>
    <x v="80"/>
  </r>
  <r>
    <n v="1107"/>
    <s v="2025-03-19"/>
    <x v="6"/>
    <x v="7"/>
    <x v="0"/>
    <n v="10"/>
    <n v="37796"/>
    <n v="377960"/>
    <x v="62"/>
  </r>
  <r>
    <n v="1108"/>
    <s v="2025-02-23"/>
    <x v="6"/>
    <x v="2"/>
    <x v="1"/>
    <n v="5"/>
    <n v="19303"/>
    <n v="96515"/>
    <x v="81"/>
  </r>
  <r>
    <n v="1109"/>
    <s v="2025-04-24"/>
    <x v="1"/>
    <x v="5"/>
    <x v="1"/>
    <n v="8"/>
    <n v="29452"/>
    <n v="235616"/>
    <x v="67"/>
  </r>
  <r>
    <n v="1110"/>
    <s v="2025-02-13"/>
    <x v="1"/>
    <x v="1"/>
    <x v="1"/>
    <n v="9"/>
    <n v="31510"/>
    <n v="283590"/>
    <x v="82"/>
  </r>
  <r>
    <n v="1111"/>
    <s v="2025-06-19"/>
    <x v="1"/>
    <x v="0"/>
    <x v="0"/>
    <n v="5"/>
    <n v="34280"/>
    <n v="171400"/>
    <x v="12"/>
  </r>
  <r>
    <n v="1112"/>
    <s v="2025-03-02"/>
    <x v="1"/>
    <x v="5"/>
    <x v="1"/>
    <n v="2"/>
    <n v="54136"/>
    <n v="108272"/>
    <x v="43"/>
  </r>
  <r>
    <n v="1113"/>
    <s v="2025-02-20"/>
    <x v="0"/>
    <x v="4"/>
    <x v="0"/>
    <n v="4"/>
    <n v="53358"/>
    <n v="213432"/>
    <x v="83"/>
  </r>
  <r>
    <n v="1114"/>
    <s v="2025-05-02"/>
    <x v="3"/>
    <x v="2"/>
    <x v="1"/>
    <n v="1"/>
    <n v="16546"/>
    <n v="16546"/>
    <x v="37"/>
  </r>
  <r>
    <n v="1115"/>
    <s v="2025-06-11"/>
    <x v="3"/>
    <x v="0"/>
    <x v="0"/>
    <n v="8"/>
    <n v="27660"/>
    <n v="221280"/>
    <x v="84"/>
  </r>
  <r>
    <n v="1116"/>
    <s v="2025-04-13"/>
    <x v="0"/>
    <x v="1"/>
    <x v="1"/>
    <n v="7"/>
    <n v="32899"/>
    <n v="230293"/>
    <x v="85"/>
  </r>
  <r>
    <n v="1117"/>
    <s v="2025-01-28"/>
    <x v="5"/>
    <x v="7"/>
    <x v="0"/>
    <n v="1"/>
    <n v="59001"/>
    <n v="59001"/>
    <x v="63"/>
  </r>
  <r>
    <n v="1118"/>
    <s v="2025-06-28"/>
    <x v="3"/>
    <x v="3"/>
    <x v="1"/>
    <n v="4"/>
    <n v="12026"/>
    <n v="48104"/>
    <x v="79"/>
  </r>
  <r>
    <n v="1119"/>
    <s v="2025-03-05"/>
    <x v="5"/>
    <x v="6"/>
    <x v="0"/>
    <n v="1"/>
    <n v="37030"/>
    <n v="37030"/>
    <x v="22"/>
  </r>
  <r>
    <n v="1120"/>
    <s v="2025-04-29"/>
    <x v="1"/>
    <x v="0"/>
    <x v="0"/>
    <n v="8"/>
    <n v="9238"/>
    <n v="73904"/>
    <x v="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400D38-0986-430A-85DB-288E164BB711}" name="PivotTable1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M12" firstHeaderRow="1" firstDataRow="1" firstDataCol="0"/>
  <pivotFields count="11">
    <pivotField showAll="0"/>
    <pivotField showAll="0"/>
    <pivotField showAll="0">
      <items count="8">
        <item x="4"/>
        <item x="3"/>
        <item x="2"/>
        <item x="6"/>
        <item x="5"/>
        <item x="0"/>
        <item x="1"/>
        <item t="default"/>
      </items>
    </pivotField>
    <pivotField showAll="0">
      <items count="9">
        <item x="4"/>
        <item x="7"/>
        <item x="2"/>
        <item x="1"/>
        <item x="0"/>
        <item x="3"/>
        <item x="5"/>
        <item x="6"/>
        <item t="default"/>
      </items>
    </pivotField>
    <pivotField showAll="0">
      <items count="3">
        <item x="0"/>
        <item x="1"/>
        <item t="default"/>
      </items>
    </pivotField>
    <pivotField showAll="0"/>
    <pivotField showAll="0"/>
    <pivotField dataField="1" showAll="0"/>
    <pivotField numFmtId="165" showAll="0">
      <items count="88">
        <item x="42"/>
        <item x="41"/>
        <item x="2"/>
        <item x="56"/>
        <item x="9"/>
        <item x="54"/>
        <item x="18"/>
        <item x="26"/>
        <item x="36"/>
        <item x="59"/>
        <item x="50"/>
        <item x="45"/>
        <item x="60"/>
        <item x="1"/>
        <item x="63"/>
        <item x="25"/>
        <item x="40"/>
        <item x="44"/>
        <item x="70"/>
        <item x="32"/>
        <item x="82"/>
        <item x="49"/>
        <item x="55"/>
        <item x="48"/>
        <item x="83"/>
        <item x="81"/>
        <item x="52"/>
        <item x="13"/>
        <item x="43"/>
        <item x="22"/>
        <item x="65"/>
        <item x="74"/>
        <item x="30"/>
        <item x="19"/>
        <item x="0"/>
        <item x="61"/>
        <item x="29"/>
        <item x="62"/>
        <item x="34"/>
        <item x="78"/>
        <item x="20"/>
        <item x="66"/>
        <item x="7"/>
        <item x="15"/>
        <item x="8"/>
        <item x="11"/>
        <item x="68"/>
        <item x="10"/>
        <item x="17"/>
        <item x="58"/>
        <item x="85"/>
        <item x="47"/>
        <item x="46"/>
        <item x="6"/>
        <item x="77"/>
        <item x="67"/>
        <item x="14"/>
        <item x="86"/>
        <item x="72"/>
        <item x="37"/>
        <item x="53"/>
        <item x="33"/>
        <item x="3"/>
        <item x="24"/>
        <item x="27"/>
        <item x="28"/>
        <item x="51"/>
        <item x="69"/>
        <item x="35"/>
        <item x="76"/>
        <item x="23"/>
        <item x="5"/>
        <item x="75"/>
        <item x="64"/>
        <item x="38"/>
        <item x="31"/>
        <item x="84"/>
        <item x="16"/>
        <item x="21"/>
        <item x="4"/>
        <item x="73"/>
        <item x="12"/>
        <item x="80"/>
        <item x="57"/>
        <item x="39"/>
        <item x="79"/>
        <item x="7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rder_value" fld="7" subtotal="average" baseField="0" baseItem="0" numFmtId="2"/>
  </dataFields>
  <formats count="1">
    <format dxfId="1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739F2C-07F3-4D15-BA41-39CB62FCD7E8}" name="PivotTable1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5:Q6" firstHeaderRow="1" firstDataRow="1" firstDataCol="0"/>
  <pivotFields count="11">
    <pivotField dataField="1" showAll="0"/>
    <pivotField showAll="0"/>
    <pivotField showAll="0">
      <items count="8">
        <item x="4"/>
        <item x="3"/>
        <item x="2"/>
        <item x="6"/>
        <item x="5"/>
        <item x="0"/>
        <item x="1"/>
        <item t="default"/>
      </items>
    </pivotField>
    <pivotField showAll="0">
      <items count="9">
        <item x="4"/>
        <item x="7"/>
        <item x="2"/>
        <item x="1"/>
        <item x="0"/>
        <item x="3"/>
        <item x="5"/>
        <item x="6"/>
        <item t="default"/>
      </items>
    </pivotField>
    <pivotField showAll="0">
      <items count="3">
        <item x="0"/>
        <item x="1"/>
        <item t="default"/>
      </items>
    </pivotField>
    <pivotField showAll="0"/>
    <pivotField showAll="0"/>
    <pivotField showAll="0"/>
    <pivotField numFmtId="165" showAll="0">
      <items count="88">
        <item x="42"/>
        <item x="41"/>
        <item x="2"/>
        <item x="56"/>
        <item x="9"/>
        <item x="54"/>
        <item x="18"/>
        <item x="26"/>
        <item x="36"/>
        <item x="59"/>
        <item x="50"/>
        <item x="45"/>
        <item x="60"/>
        <item x="1"/>
        <item x="63"/>
        <item x="25"/>
        <item x="40"/>
        <item x="44"/>
        <item x="70"/>
        <item x="32"/>
        <item x="82"/>
        <item x="49"/>
        <item x="55"/>
        <item x="48"/>
        <item x="83"/>
        <item x="81"/>
        <item x="52"/>
        <item x="13"/>
        <item x="43"/>
        <item x="22"/>
        <item x="65"/>
        <item x="74"/>
        <item x="30"/>
        <item x="19"/>
        <item x="0"/>
        <item x="61"/>
        <item x="29"/>
        <item x="62"/>
        <item x="34"/>
        <item x="78"/>
        <item x="20"/>
        <item x="66"/>
        <item x="7"/>
        <item x="15"/>
        <item x="8"/>
        <item x="11"/>
        <item x="68"/>
        <item x="10"/>
        <item x="17"/>
        <item x="58"/>
        <item x="85"/>
        <item x="47"/>
        <item x="46"/>
        <item x="6"/>
        <item x="77"/>
        <item x="67"/>
        <item x="14"/>
        <item x="86"/>
        <item x="72"/>
        <item x="37"/>
        <item x="53"/>
        <item x="33"/>
        <item x="3"/>
        <item x="24"/>
        <item x="27"/>
        <item x="28"/>
        <item x="51"/>
        <item x="69"/>
        <item x="35"/>
        <item x="76"/>
        <item x="23"/>
        <item x="5"/>
        <item x="75"/>
        <item x="64"/>
        <item x="38"/>
        <item x="31"/>
        <item x="84"/>
        <item x="16"/>
        <item x="21"/>
        <item x="4"/>
        <item x="73"/>
        <item x="12"/>
        <item x="80"/>
        <item x="57"/>
        <item x="39"/>
        <item x="79"/>
        <item x="7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_or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CBE29D-37F7-4A28-B09F-5E3E0639CDA2}"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7:M18" firstHeaderRow="1" firstDataRow="1" firstDataCol="0"/>
  <pivotFields count="11">
    <pivotField showAll="0"/>
    <pivotField showAll="0"/>
    <pivotField showAll="0">
      <items count="8">
        <item x="4"/>
        <item x="3"/>
        <item x="2"/>
        <item x="6"/>
        <item x="5"/>
        <item x="0"/>
        <item x="1"/>
        <item t="default"/>
      </items>
    </pivotField>
    <pivotField showAll="0">
      <items count="9">
        <item x="4"/>
        <item x="7"/>
        <item x="2"/>
        <item x="1"/>
        <item x="0"/>
        <item x="3"/>
        <item x="5"/>
        <item x="6"/>
        <item t="default"/>
      </items>
    </pivotField>
    <pivotField showAll="0">
      <items count="3">
        <item x="0"/>
        <item x="1"/>
        <item t="default"/>
      </items>
    </pivotField>
    <pivotField dataField="1" showAll="0"/>
    <pivotField showAll="0"/>
    <pivotField showAll="0"/>
    <pivotField numFmtId="165" showAll="0">
      <items count="88">
        <item x="42"/>
        <item x="41"/>
        <item x="2"/>
        <item x="56"/>
        <item x="9"/>
        <item x="54"/>
        <item x="18"/>
        <item x="26"/>
        <item x="36"/>
        <item x="59"/>
        <item x="50"/>
        <item x="45"/>
        <item x="60"/>
        <item x="1"/>
        <item x="63"/>
        <item x="25"/>
        <item x="40"/>
        <item x="44"/>
        <item x="70"/>
        <item x="32"/>
        <item x="82"/>
        <item x="49"/>
        <item x="55"/>
        <item x="48"/>
        <item x="83"/>
        <item x="81"/>
        <item x="52"/>
        <item x="13"/>
        <item x="43"/>
        <item x="22"/>
        <item x="65"/>
        <item x="74"/>
        <item x="30"/>
        <item x="19"/>
        <item x="0"/>
        <item x="61"/>
        <item x="29"/>
        <item x="62"/>
        <item x="34"/>
        <item x="78"/>
        <item x="20"/>
        <item x="66"/>
        <item x="7"/>
        <item x="15"/>
        <item x="8"/>
        <item x="11"/>
        <item x="68"/>
        <item x="10"/>
        <item x="17"/>
        <item x="58"/>
        <item x="85"/>
        <item x="47"/>
        <item x="46"/>
        <item x="6"/>
        <item x="77"/>
        <item x="67"/>
        <item x="14"/>
        <item x="86"/>
        <item x="72"/>
        <item x="37"/>
        <item x="53"/>
        <item x="33"/>
        <item x="3"/>
        <item x="24"/>
        <item x="27"/>
        <item x="28"/>
        <item x="51"/>
        <item x="69"/>
        <item x="35"/>
        <item x="76"/>
        <item x="23"/>
        <item x="5"/>
        <item x="75"/>
        <item x="64"/>
        <item x="38"/>
        <item x="31"/>
        <item x="84"/>
        <item x="16"/>
        <item x="21"/>
        <item x="4"/>
        <item x="73"/>
        <item x="12"/>
        <item x="80"/>
        <item x="57"/>
        <item x="39"/>
        <item x="79"/>
        <item x="7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Quantity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D3692D-CB7A-45B4-B38E-E0993139A429}" name="PivotTable8" cacheId="3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M5:M6" firstHeaderRow="1" firstDataRow="1" firstDataCol="0"/>
  <pivotFields count="11">
    <pivotField showAll="0"/>
    <pivotField showAll="0"/>
    <pivotField showAll="0">
      <items count="8">
        <item x="4"/>
        <item x="3"/>
        <item x="2"/>
        <item x="6"/>
        <item x="5"/>
        <item x="0"/>
        <item x="1"/>
        <item t="default"/>
      </items>
    </pivotField>
    <pivotField showAll="0">
      <items count="9">
        <item x="4"/>
        <item x="7"/>
        <item x="2"/>
        <item x="1"/>
        <item x="0"/>
        <item x="3"/>
        <item x="5"/>
        <item x="6"/>
        <item t="default"/>
      </items>
    </pivotField>
    <pivotField showAll="0">
      <items count="3">
        <item x="0"/>
        <item x="1"/>
        <item t="default"/>
      </items>
    </pivotField>
    <pivotField showAll="0"/>
    <pivotField showAll="0"/>
    <pivotField dataField="1" showAll="0"/>
    <pivotField numFmtId="165" showAll="0">
      <items count="88">
        <item x="42"/>
        <item x="41"/>
        <item x="2"/>
        <item x="56"/>
        <item x="9"/>
        <item x="54"/>
        <item x="18"/>
        <item x="26"/>
        <item x="36"/>
        <item x="59"/>
        <item x="50"/>
        <item x="45"/>
        <item x="60"/>
        <item x="1"/>
        <item x="63"/>
        <item x="25"/>
        <item x="40"/>
        <item x="44"/>
        <item x="70"/>
        <item x="32"/>
        <item x="82"/>
        <item x="49"/>
        <item x="55"/>
        <item x="48"/>
        <item x="83"/>
        <item x="81"/>
        <item x="52"/>
        <item x="13"/>
        <item x="43"/>
        <item x="22"/>
        <item x="65"/>
        <item x="74"/>
        <item x="30"/>
        <item x="19"/>
        <item x="0"/>
        <item x="61"/>
        <item x="29"/>
        <item x="62"/>
        <item x="34"/>
        <item x="78"/>
        <item x="20"/>
        <item x="66"/>
        <item x="7"/>
        <item x="15"/>
        <item x="8"/>
        <item x="11"/>
        <item x="68"/>
        <item x="10"/>
        <item x="17"/>
        <item x="58"/>
        <item x="85"/>
        <item x="47"/>
        <item x="46"/>
        <item x="6"/>
        <item x="77"/>
        <item x="67"/>
        <item x="14"/>
        <item x="86"/>
        <item x="72"/>
        <item x="37"/>
        <item x="53"/>
        <item x="33"/>
        <item x="3"/>
        <item x="24"/>
        <item x="27"/>
        <item x="28"/>
        <item x="51"/>
        <item x="69"/>
        <item x="35"/>
        <item x="76"/>
        <item x="23"/>
        <item x="5"/>
        <item x="75"/>
        <item x="64"/>
        <item x="38"/>
        <item x="31"/>
        <item x="84"/>
        <item x="16"/>
        <item x="21"/>
        <item x="4"/>
        <item x="73"/>
        <item x="12"/>
        <item x="80"/>
        <item x="57"/>
        <item x="39"/>
        <item x="79"/>
        <item x="7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sales" fld="7" baseField="0" baseItem="0" numFmtId="171"/>
  </dataFields>
  <formats count="2">
    <format dxfId="107">
      <pivotArea outline="0" collapsedLevelsAreSubtotals="1" fieldPosition="0"/>
    </format>
    <format dxfId="10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E3DB8C-D930-4A5B-9C7F-8BE4F24C2A11}"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I17:J24" firstHeaderRow="1" firstDataRow="1" firstDataCol="1"/>
  <pivotFields count="11">
    <pivotField dataField="1" showAll="0"/>
    <pivotField showAll="0"/>
    <pivotField showAll="0">
      <items count="8">
        <item x="4"/>
        <item x="3"/>
        <item x="2"/>
        <item x="6"/>
        <item x="5"/>
        <item x="0"/>
        <item x="1"/>
        <item t="default"/>
      </items>
    </pivotField>
    <pivotField showAll="0">
      <items count="9">
        <item x="4"/>
        <item x="7"/>
        <item x="2"/>
        <item x="1"/>
        <item x="0"/>
        <item x="3"/>
        <item x="5"/>
        <item x="6"/>
        <item t="default"/>
      </items>
    </pivotField>
    <pivotField showAll="0">
      <items count="3">
        <item x="0"/>
        <item x="1"/>
        <item t="default"/>
      </items>
    </pivotField>
    <pivotField showAll="0"/>
    <pivotField showAll="0"/>
    <pivotField showAll="0"/>
    <pivotField numFmtId="165" showAll="0">
      <items count="88">
        <item x="42"/>
        <item x="41"/>
        <item x="2"/>
        <item x="56"/>
        <item x="9"/>
        <item x="54"/>
        <item x="18"/>
        <item x="26"/>
        <item x="36"/>
        <item x="59"/>
        <item x="50"/>
        <item x="45"/>
        <item x="60"/>
        <item x="1"/>
        <item x="63"/>
        <item x="25"/>
        <item x="40"/>
        <item x="44"/>
        <item x="70"/>
        <item x="32"/>
        <item x="82"/>
        <item x="49"/>
        <item x="55"/>
        <item x="48"/>
        <item x="83"/>
        <item x="81"/>
        <item x="52"/>
        <item x="13"/>
        <item x="43"/>
        <item x="22"/>
        <item x="65"/>
        <item x="74"/>
        <item x="30"/>
        <item x="19"/>
        <item x="0"/>
        <item x="61"/>
        <item x="29"/>
        <item x="62"/>
        <item x="34"/>
        <item x="78"/>
        <item x="20"/>
        <item x="66"/>
        <item x="7"/>
        <item x="15"/>
        <item x="8"/>
        <item x="11"/>
        <item x="68"/>
        <item x="10"/>
        <item x="17"/>
        <item x="58"/>
        <item x="85"/>
        <item x="47"/>
        <item x="46"/>
        <item x="6"/>
        <item x="77"/>
        <item x="67"/>
        <item x="14"/>
        <item x="86"/>
        <item x="72"/>
        <item x="37"/>
        <item x="53"/>
        <item x="33"/>
        <item x="3"/>
        <item x="24"/>
        <item x="27"/>
        <item x="28"/>
        <item x="51"/>
        <item x="69"/>
        <item x="35"/>
        <item x="76"/>
        <item x="23"/>
        <item x="5"/>
        <item x="75"/>
        <item x="64"/>
        <item x="38"/>
        <item x="31"/>
        <item x="84"/>
        <item x="16"/>
        <item x="21"/>
        <item x="4"/>
        <item x="73"/>
        <item x="12"/>
        <item x="80"/>
        <item x="57"/>
        <item x="39"/>
        <item x="79"/>
        <item x="7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10"/>
  </rowFields>
  <rowItems count="7">
    <i>
      <x v="1"/>
    </i>
    <i>
      <x v="2"/>
    </i>
    <i>
      <x v="3"/>
    </i>
    <i>
      <x v="4"/>
    </i>
    <i>
      <x v="5"/>
    </i>
    <i>
      <x v="6"/>
    </i>
    <i t="grand">
      <x/>
    </i>
  </rowItems>
  <colItems count="1">
    <i/>
  </colItems>
  <dataFields count="1">
    <dataField name="Order" fld="0" subtotal="count" baseField="10" baseItem="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14E7D7-DFA8-4CF0-98D5-86228A42B348}"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E17:F24" firstHeaderRow="1" firstDataRow="1" firstDataCol="1"/>
  <pivotFields count="11">
    <pivotField showAll="0"/>
    <pivotField showAll="0"/>
    <pivotField showAll="0">
      <items count="8">
        <item x="4"/>
        <item x="3"/>
        <item x="2"/>
        <item x="6"/>
        <item x="5"/>
        <item x="0"/>
        <item x="1"/>
        <item t="default"/>
      </items>
    </pivotField>
    <pivotField showAll="0">
      <items count="9">
        <item x="4"/>
        <item x="7"/>
        <item x="2"/>
        <item x="1"/>
        <item x="0"/>
        <item x="3"/>
        <item x="5"/>
        <item x="6"/>
        <item t="default"/>
      </items>
    </pivotField>
    <pivotField showAll="0">
      <items count="3">
        <item x="0"/>
        <item x="1"/>
        <item t="default"/>
      </items>
    </pivotField>
    <pivotField showAll="0"/>
    <pivotField showAll="0"/>
    <pivotField dataField="1" showAll="0"/>
    <pivotField axis="axisRow" numFmtId="165" showAll="0">
      <items count="88">
        <item x="42"/>
        <item x="41"/>
        <item x="2"/>
        <item x="56"/>
        <item x="9"/>
        <item x="54"/>
        <item x="18"/>
        <item x="26"/>
        <item x="36"/>
        <item x="59"/>
        <item x="50"/>
        <item x="45"/>
        <item x="60"/>
        <item x="1"/>
        <item x="63"/>
        <item x="25"/>
        <item x="40"/>
        <item x="44"/>
        <item x="70"/>
        <item x="32"/>
        <item x="82"/>
        <item x="49"/>
        <item x="55"/>
        <item x="48"/>
        <item x="83"/>
        <item x="81"/>
        <item x="52"/>
        <item x="13"/>
        <item x="43"/>
        <item x="22"/>
        <item x="65"/>
        <item x="74"/>
        <item x="30"/>
        <item x="19"/>
        <item x="0"/>
        <item x="61"/>
        <item x="29"/>
        <item x="62"/>
        <item x="34"/>
        <item x="78"/>
        <item x="20"/>
        <item x="66"/>
        <item x="7"/>
        <item x="15"/>
        <item x="8"/>
        <item x="11"/>
        <item x="68"/>
        <item x="10"/>
        <item x="17"/>
        <item x="58"/>
        <item x="85"/>
        <item x="47"/>
        <item x="46"/>
        <item x="6"/>
        <item x="77"/>
        <item x="67"/>
        <item x="14"/>
        <item x="86"/>
        <item x="72"/>
        <item x="37"/>
        <item x="53"/>
        <item x="33"/>
        <item x="3"/>
        <item x="24"/>
        <item x="27"/>
        <item x="28"/>
        <item x="51"/>
        <item x="69"/>
        <item x="35"/>
        <item x="76"/>
        <item x="23"/>
        <item x="5"/>
        <item x="75"/>
        <item x="64"/>
        <item x="38"/>
        <item x="31"/>
        <item x="84"/>
        <item x="16"/>
        <item x="21"/>
        <item x="4"/>
        <item x="73"/>
        <item x="12"/>
        <item x="80"/>
        <item x="57"/>
        <item x="39"/>
        <item x="79"/>
        <item x="7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8"/>
  </rowFields>
  <rowItems count="7">
    <i>
      <x v="1"/>
    </i>
    <i>
      <x v="2"/>
    </i>
    <i>
      <x v="3"/>
    </i>
    <i>
      <x v="4"/>
    </i>
    <i>
      <x v="5"/>
    </i>
    <i>
      <x v="6"/>
    </i>
    <i t="grand">
      <x/>
    </i>
  </rowItems>
  <colItems count="1">
    <i/>
  </colItems>
  <dataFields count="1">
    <dataField name="Sum of Total_Sales"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C6FF8E-8526-4E12-B029-3E76DFB4DBAD}"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I5:J8" firstHeaderRow="1" firstDataRow="1" firstDataCol="1"/>
  <pivotFields count="11">
    <pivotField showAll="0"/>
    <pivotField showAll="0"/>
    <pivotField showAll="0">
      <items count="8">
        <item x="4"/>
        <item x="3"/>
        <item x="2"/>
        <item x="6"/>
        <item x="5"/>
        <item x="0"/>
        <item x="1"/>
        <item t="default"/>
      </items>
    </pivotField>
    <pivotField showAll="0">
      <items count="9">
        <item x="4"/>
        <item x="7"/>
        <item x="2"/>
        <item x="1"/>
        <item x="0"/>
        <item x="3"/>
        <item x="5"/>
        <item x="6"/>
        <item t="default"/>
      </items>
    </pivotField>
    <pivotField axis="axisRow" showAll="0">
      <items count="3">
        <item x="0"/>
        <item x="1"/>
        <item t="default"/>
      </items>
    </pivotField>
    <pivotField showAll="0"/>
    <pivotField showAll="0"/>
    <pivotField dataField="1" showAll="0"/>
    <pivotField numFmtId="165" showAll="0">
      <items count="88">
        <item x="42"/>
        <item x="41"/>
        <item x="2"/>
        <item x="56"/>
        <item x="9"/>
        <item x="54"/>
        <item x="18"/>
        <item x="26"/>
        <item x="36"/>
        <item x="59"/>
        <item x="50"/>
        <item x="45"/>
        <item x="60"/>
        <item x="1"/>
        <item x="63"/>
        <item x="25"/>
        <item x="40"/>
        <item x="44"/>
        <item x="70"/>
        <item x="32"/>
        <item x="82"/>
        <item x="49"/>
        <item x="55"/>
        <item x="48"/>
        <item x="83"/>
        <item x="81"/>
        <item x="52"/>
        <item x="13"/>
        <item x="43"/>
        <item x="22"/>
        <item x="65"/>
        <item x="74"/>
        <item x="30"/>
        <item x="19"/>
        <item x="0"/>
        <item x="61"/>
        <item x="29"/>
        <item x="62"/>
        <item x="34"/>
        <item x="78"/>
        <item x="20"/>
        <item x="66"/>
        <item x="7"/>
        <item x="15"/>
        <item x="8"/>
        <item x="11"/>
        <item x="68"/>
        <item x="10"/>
        <item x="17"/>
        <item x="58"/>
        <item x="85"/>
        <item x="47"/>
        <item x="46"/>
        <item x="6"/>
        <item x="77"/>
        <item x="67"/>
        <item x="14"/>
        <item x="86"/>
        <item x="72"/>
        <item x="37"/>
        <item x="53"/>
        <item x="33"/>
        <item x="3"/>
        <item x="24"/>
        <item x="27"/>
        <item x="28"/>
        <item x="51"/>
        <item x="69"/>
        <item x="35"/>
        <item x="76"/>
        <item x="23"/>
        <item x="5"/>
        <item x="75"/>
        <item x="64"/>
        <item x="38"/>
        <item x="31"/>
        <item x="84"/>
        <item x="16"/>
        <item x="21"/>
        <item x="4"/>
        <item x="73"/>
        <item x="12"/>
        <item x="80"/>
        <item x="57"/>
        <item x="39"/>
        <item x="79"/>
        <item x="7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 Total_Sales" fld="7" baseField="4"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C52296-E61F-4B55-9D4B-950E5AAA960A}"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E5:F14" firstHeaderRow="1" firstDataRow="1" firstDataCol="1"/>
  <pivotFields count="11">
    <pivotField showAll="0"/>
    <pivotField showAll="0"/>
    <pivotField showAll="0">
      <items count="8">
        <item x="4"/>
        <item x="3"/>
        <item x="2"/>
        <item x="6"/>
        <item x="5"/>
        <item x="0"/>
        <item x="1"/>
        <item t="default"/>
      </items>
    </pivotField>
    <pivotField axis="axisRow" showAll="0">
      <items count="9">
        <item x="4"/>
        <item x="7"/>
        <item x="2"/>
        <item x="1"/>
        <item x="0"/>
        <item x="3"/>
        <item x="5"/>
        <item x="6"/>
        <item t="default"/>
      </items>
    </pivotField>
    <pivotField showAll="0">
      <items count="3">
        <item x="0"/>
        <item x="1"/>
        <item t="default"/>
      </items>
    </pivotField>
    <pivotField showAll="0"/>
    <pivotField showAll="0"/>
    <pivotField dataField="1" showAll="0"/>
    <pivotField numFmtId="165" showAll="0">
      <items count="88">
        <item x="42"/>
        <item x="41"/>
        <item x="2"/>
        <item x="56"/>
        <item x="9"/>
        <item x="54"/>
        <item x="18"/>
        <item x="26"/>
        <item x="36"/>
        <item x="59"/>
        <item x="50"/>
        <item x="45"/>
        <item x="60"/>
        <item x="1"/>
        <item x="63"/>
        <item x="25"/>
        <item x="40"/>
        <item x="44"/>
        <item x="70"/>
        <item x="32"/>
        <item x="82"/>
        <item x="49"/>
        <item x="55"/>
        <item x="48"/>
        <item x="83"/>
        <item x="81"/>
        <item x="52"/>
        <item x="13"/>
        <item x="43"/>
        <item x="22"/>
        <item x="65"/>
        <item x="74"/>
        <item x="30"/>
        <item x="19"/>
        <item x="0"/>
        <item x="61"/>
        <item x="29"/>
        <item x="62"/>
        <item x="34"/>
        <item x="78"/>
        <item x="20"/>
        <item x="66"/>
        <item x="7"/>
        <item x="15"/>
        <item x="8"/>
        <item x="11"/>
        <item x="68"/>
        <item x="10"/>
        <item x="17"/>
        <item x="58"/>
        <item x="85"/>
        <item x="47"/>
        <item x="46"/>
        <item x="6"/>
        <item x="77"/>
        <item x="67"/>
        <item x="14"/>
        <item x="86"/>
        <item x="72"/>
        <item x="37"/>
        <item x="53"/>
        <item x="33"/>
        <item x="3"/>
        <item x="24"/>
        <item x="27"/>
        <item x="28"/>
        <item x="51"/>
        <item x="69"/>
        <item x="35"/>
        <item x="76"/>
        <item x="23"/>
        <item x="5"/>
        <item x="75"/>
        <item x="64"/>
        <item x="38"/>
        <item x="31"/>
        <item x="84"/>
        <item x="16"/>
        <item x="21"/>
        <item x="4"/>
        <item x="73"/>
        <item x="12"/>
        <item x="80"/>
        <item x="57"/>
        <item x="39"/>
        <item x="79"/>
        <item x="7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Total_Sales"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48279D-D900-4460-A24C-2D942C9303BD}"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ity">
  <location ref="A17:B25" firstHeaderRow="1" firstDataRow="1" firstDataCol="1"/>
  <pivotFields count="11">
    <pivotField dataField="1" showAll="0"/>
    <pivotField showAll="0"/>
    <pivotField axis="axisRow" showAll="0">
      <items count="8">
        <item x="4"/>
        <item x="3"/>
        <item x="2"/>
        <item x="6"/>
        <item x="5"/>
        <item x="0"/>
        <item x="1"/>
        <item t="default"/>
      </items>
    </pivotField>
    <pivotField showAll="0">
      <items count="9">
        <item x="4"/>
        <item x="7"/>
        <item x="2"/>
        <item x="1"/>
        <item x="0"/>
        <item x="3"/>
        <item x="5"/>
        <item x="6"/>
        <item t="default"/>
      </items>
    </pivotField>
    <pivotField showAll="0">
      <items count="3">
        <item x="0"/>
        <item x="1"/>
        <item t="default"/>
      </items>
    </pivotField>
    <pivotField showAll="0"/>
    <pivotField showAll="0"/>
    <pivotField showAll="0"/>
    <pivotField numFmtId="165" showAll="0">
      <items count="88">
        <item x="42"/>
        <item x="41"/>
        <item x="2"/>
        <item x="56"/>
        <item x="9"/>
        <item x="54"/>
        <item x="18"/>
        <item x="26"/>
        <item x="36"/>
        <item x="59"/>
        <item x="50"/>
        <item x="45"/>
        <item x="60"/>
        <item x="1"/>
        <item x="63"/>
        <item x="25"/>
        <item x="40"/>
        <item x="44"/>
        <item x="70"/>
        <item x="32"/>
        <item x="82"/>
        <item x="49"/>
        <item x="55"/>
        <item x="48"/>
        <item x="83"/>
        <item x="81"/>
        <item x="52"/>
        <item x="13"/>
        <item x="43"/>
        <item x="22"/>
        <item x="65"/>
        <item x="74"/>
        <item x="30"/>
        <item x="19"/>
        <item x="0"/>
        <item x="61"/>
        <item x="29"/>
        <item x="62"/>
        <item x="34"/>
        <item x="78"/>
        <item x="20"/>
        <item x="66"/>
        <item x="7"/>
        <item x="15"/>
        <item x="8"/>
        <item x="11"/>
        <item x="68"/>
        <item x="10"/>
        <item x="17"/>
        <item x="58"/>
        <item x="85"/>
        <item x="47"/>
        <item x="46"/>
        <item x="6"/>
        <item x="77"/>
        <item x="67"/>
        <item x="14"/>
        <item x="86"/>
        <item x="72"/>
        <item x="37"/>
        <item x="53"/>
        <item x="33"/>
        <item x="3"/>
        <item x="24"/>
        <item x="27"/>
        <item x="28"/>
        <item x="51"/>
        <item x="69"/>
        <item x="35"/>
        <item x="76"/>
        <item x="23"/>
        <item x="5"/>
        <item x="75"/>
        <item x="64"/>
        <item x="38"/>
        <item x="31"/>
        <item x="84"/>
        <item x="16"/>
        <item x="21"/>
        <item x="4"/>
        <item x="73"/>
        <item x="12"/>
        <item x="80"/>
        <item x="57"/>
        <item x="39"/>
        <item x="79"/>
        <item x="7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Items count="1">
    <i/>
  </colItems>
  <dataFields count="1">
    <dataField name="Count of Order_ID" fld="0" subtotal="count" baseField="2"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4E9AC9-42CB-40DB-85A4-CBB6EB29AAB6}"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ity">
  <location ref="A5:B13" firstHeaderRow="1" firstDataRow="1" firstDataCol="1"/>
  <pivotFields count="11">
    <pivotField showAll="0"/>
    <pivotField showAll="0"/>
    <pivotField axis="axisRow" showAll="0">
      <items count="8">
        <item x="4"/>
        <item x="3"/>
        <item x="2"/>
        <item x="6"/>
        <item x="5"/>
        <item x="0"/>
        <item x="1"/>
        <item t="default"/>
      </items>
    </pivotField>
    <pivotField showAll="0">
      <items count="9">
        <item x="4"/>
        <item x="7"/>
        <item x="2"/>
        <item x="1"/>
        <item x="0"/>
        <item x="3"/>
        <item x="5"/>
        <item x="6"/>
        <item t="default"/>
      </items>
    </pivotField>
    <pivotField showAll="0">
      <items count="3">
        <item x="0"/>
        <item x="1"/>
        <item t="default"/>
      </items>
    </pivotField>
    <pivotField showAll="0"/>
    <pivotField showAll="0"/>
    <pivotField dataField="1" showAll="0"/>
    <pivotField numFmtId="165" showAll="0">
      <items count="88">
        <item x="42"/>
        <item x="41"/>
        <item x="2"/>
        <item x="56"/>
        <item x="9"/>
        <item x="54"/>
        <item x="18"/>
        <item x="26"/>
        <item x="36"/>
        <item x="59"/>
        <item x="50"/>
        <item x="45"/>
        <item x="60"/>
        <item x="1"/>
        <item x="63"/>
        <item x="25"/>
        <item x="40"/>
        <item x="44"/>
        <item x="70"/>
        <item x="32"/>
        <item x="82"/>
        <item x="49"/>
        <item x="55"/>
        <item x="48"/>
        <item x="83"/>
        <item x="81"/>
        <item x="52"/>
        <item x="13"/>
        <item x="43"/>
        <item x="22"/>
        <item x="65"/>
        <item x="74"/>
        <item x="30"/>
        <item x="19"/>
        <item x="0"/>
        <item x="61"/>
        <item x="29"/>
        <item x="62"/>
        <item x="34"/>
        <item x="78"/>
        <item x="20"/>
        <item x="66"/>
        <item x="7"/>
        <item x="15"/>
        <item x="8"/>
        <item x="11"/>
        <item x="68"/>
        <item x="10"/>
        <item x="17"/>
        <item x="58"/>
        <item x="85"/>
        <item x="47"/>
        <item x="46"/>
        <item x="6"/>
        <item x="77"/>
        <item x="67"/>
        <item x="14"/>
        <item x="86"/>
        <item x="72"/>
        <item x="37"/>
        <item x="53"/>
        <item x="33"/>
        <item x="3"/>
        <item x="24"/>
        <item x="27"/>
        <item x="28"/>
        <item x="51"/>
        <item x="69"/>
        <item x="35"/>
        <item x="76"/>
        <item x="23"/>
        <item x="5"/>
        <item x="75"/>
        <item x="64"/>
        <item x="38"/>
        <item x="31"/>
        <item x="84"/>
        <item x="16"/>
        <item x="21"/>
        <item x="4"/>
        <item x="73"/>
        <item x="12"/>
        <item x="80"/>
        <item x="57"/>
        <item x="39"/>
        <item x="79"/>
        <item x="7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Items count="1">
    <i/>
  </colItems>
  <dataFields count="1">
    <dataField name="Sum of Total_Sales" fld="7" baseField="0" baseItem="0"/>
  </dataFields>
  <chartFormats count="1">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2FC36B5-5ECC-4C1B-836C-CF252048BBB9}" sourceName="City">
  <pivotTables>
    <pivotTable tabId="2" name="PivotTable2"/>
    <pivotTable tabId="2" name="PivotTable10"/>
    <pivotTable tabId="2" name="PivotTable14"/>
    <pivotTable tabId="2" name="PivotTable3"/>
    <pivotTable tabId="2" name="PivotTable4"/>
    <pivotTable tabId="2" name="PivotTable5"/>
    <pivotTable tabId="2" name="PivotTable6"/>
    <pivotTable tabId="2" name="PivotTable7"/>
    <pivotTable tabId="2" name="PivotTable8"/>
    <pivotTable tabId="2" name="PivotTable9"/>
  </pivotTables>
  <data>
    <tabular pivotCacheId="842524185">
      <items count="7">
        <i x="4" s="1"/>
        <i x="3" s="1"/>
        <i x="2" s="1"/>
        <i x="6" s="1"/>
        <i x="5"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8E70CFE-BD36-4BDA-B471-7D5450CABBB3}" sourceName="Product">
  <pivotTables>
    <pivotTable tabId="2" name="PivotTable2"/>
    <pivotTable tabId="2" name="PivotTable10"/>
    <pivotTable tabId="2" name="PivotTable14"/>
    <pivotTable tabId="2" name="PivotTable3"/>
    <pivotTable tabId="2" name="PivotTable4"/>
    <pivotTable tabId="2" name="PivotTable5"/>
    <pivotTable tabId="2" name="PivotTable6"/>
    <pivotTable tabId="2" name="PivotTable7"/>
    <pivotTable tabId="2" name="PivotTable8"/>
    <pivotTable tabId="2" name="PivotTable9"/>
  </pivotTables>
  <data>
    <tabular pivotCacheId="842524185">
      <items count="8">
        <i x="4" s="1"/>
        <i x="7" s="1"/>
        <i x="2" s="1"/>
        <i x="1" s="1"/>
        <i x="0" s="1"/>
        <i x="3"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onth" xr10:uid="{AF689BF3-0367-4DB1-905C-7ADB025A62A1}" sourceName="Months (month)">
  <pivotTables>
    <pivotTable tabId="2" name="PivotTable2"/>
    <pivotTable tabId="2" name="PivotTable10"/>
    <pivotTable tabId="2" name="PivotTable14"/>
    <pivotTable tabId="2" name="PivotTable3"/>
    <pivotTable tabId="2" name="PivotTable4"/>
    <pivotTable tabId="2" name="PivotTable5"/>
    <pivotTable tabId="2" name="PivotTable6"/>
    <pivotTable tabId="2" name="PivotTable7"/>
    <pivotTable tabId="2" name="PivotTable8"/>
    <pivotTable tabId="2" name="PivotTable9"/>
  </pivotTables>
  <data>
    <tabular pivotCacheId="842524185">
      <items count="14">
        <i x="1" s="1"/>
        <i x="2" s="1"/>
        <i x="3" s="1"/>
        <i x="4" s="1"/>
        <i x="5" s="1"/>
        <i x="6" s="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54279D9-D98E-4057-8862-3BCA3AA7BF35}" cache="Slicer_City" caption="City" style="SlicerStyleLight4" rowHeight="241300"/>
  <slicer name="Product" xr10:uid="{F96A8EFE-56F5-4D4F-9DD4-85E4B67168B7}" cache="Slicer_Product" caption="Product" style="SlicerStyleLight4" rowHeight="241300"/>
  <slicer name="Months (month)" xr10:uid="{F02AAE7D-B6D3-4ED0-BBEE-3ED5E11DEBD3}" cache="Slicer_Months__month" caption="Months "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000852-EAE6-4BCE-AA54-6916C2AEA1FB}" name="order_data" displayName="order_data" ref="A1:I121" totalsRowShown="0" headerRowDxfId="109" headerRowBorderDxfId="110" tableBorderDxfId="111">
  <autoFilter ref="A1:I121" xr:uid="{DC000852-EAE6-4BCE-AA54-6916C2AEA1FB}"/>
  <tableColumns count="9">
    <tableColumn id="1" xr3:uid="{8B844DAD-ED75-4DCC-AFC3-9255A64508FC}" name="Order_ID"/>
    <tableColumn id="2" xr3:uid="{76F66575-57F8-4F8E-8F4D-8781667E623B}" name="Date"/>
    <tableColumn id="3" xr3:uid="{B7B15922-E52F-4001-84BD-30F38A85E667}" name="City"/>
    <tableColumn id="4" xr3:uid="{248DA45B-808C-4987-9559-B09F5883F239}" name="Product"/>
    <tableColumn id="5" xr3:uid="{2D50A5CA-2AC7-42CE-B970-764D31F7AFCF}" name="Category"/>
    <tableColumn id="6" xr3:uid="{36A8676D-1C7B-4F22-A96C-7650A2071FFB}" name="Quantity"/>
    <tableColumn id="7" xr3:uid="{883D2460-1079-4E96-BD93-A0F5D435F221}" name="Unit_Price"/>
    <tableColumn id="8" xr3:uid="{17559439-6D9F-4656-A85E-5219EE322D4F}" name="Total_Sales"/>
    <tableColumn id="10" xr3:uid="{D3F53743-B167-4A0B-863C-57E904493231}" name="month" dataDxfId="108">
      <calculatedColumnFormula>DATEVALUE(order_data[[#This Row],[Date]])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1"/>
  <sheetViews>
    <sheetView workbookViewId="0">
      <selection activeCell="I2" sqref="I2:I121"/>
    </sheetView>
  </sheetViews>
  <sheetFormatPr defaultRowHeight="15" x14ac:dyDescent="0.25"/>
  <cols>
    <col min="1" max="1" width="11.140625" customWidth="1"/>
    <col min="2" max="2" width="10.42578125" bestFit="1" customWidth="1"/>
    <col min="3" max="3" width="10.5703125" bestFit="1" customWidth="1"/>
    <col min="4" max="4" width="12.140625" bestFit="1" customWidth="1"/>
    <col min="5" max="5" width="11.28515625" bestFit="1" customWidth="1"/>
    <col min="6" max="6" width="10.85546875" customWidth="1"/>
    <col min="7" max="7" width="12.42578125" customWidth="1"/>
    <col min="8" max="8" width="13.140625" customWidth="1"/>
    <col min="9" max="9" width="9.85546875" bestFit="1" customWidth="1"/>
  </cols>
  <sheetData>
    <row r="1" spans="1:9" x14ac:dyDescent="0.25">
      <c r="A1" s="1" t="s">
        <v>0</v>
      </c>
      <c r="B1" s="1" t="s">
        <v>1</v>
      </c>
      <c r="C1" s="1" t="s">
        <v>2</v>
      </c>
      <c r="D1" s="1" t="s">
        <v>3</v>
      </c>
      <c r="E1" s="1" t="s">
        <v>4</v>
      </c>
      <c r="F1" s="1" t="s">
        <v>5</v>
      </c>
      <c r="G1" s="1" t="s">
        <v>6</v>
      </c>
      <c r="H1" s="1" t="s">
        <v>7</v>
      </c>
      <c r="I1" s="1" t="s">
        <v>115</v>
      </c>
    </row>
    <row r="2" spans="1:9" x14ac:dyDescent="0.25">
      <c r="A2">
        <v>1001</v>
      </c>
      <c r="B2" t="s">
        <v>8</v>
      </c>
      <c r="C2" t="s">
        <v>95</v>
      </c>
      <c r="D2" t="s">
        <v>102</v>
      </c>
      <c r="E2" t="s">
        <v>110</v>
      </c>
      <c r="F2">
        <v>1</v>
      </c>
      <c r="G2">
        <v>49098</v>
      </c>
      <c r="H2">
        <v>49098</v>
      </c>
      <c r="I2" s="5">
        <f>DATEVALUE(order_data[[#This Row],[Date]])</f>
        <v>45728</v>
      </c>
    </row>
    <row r="3" spans="1:9" x14ac:dyDescent="0.25">
      <c r="A3">
        <v>1002</v>
      </c>
      <c r="B3" t="s">
        <v>9</v>
      </c>
      <c r="C3" t="s">
        <v>96</v>
      </c>
      <c r="D3" t="s">
        <v>103</v>
      </c>
      <c r="E3" t="s">
        <v>111</v>
      </c>
      <c r="F3">
        <v>3</v>
      </c>
      <c r="G3">
        <v>48765</v>
      </c>
      <c r="H3">
        <v>146295</v>
      </c>
      <c r="I3" s="5">
        <f>DATEVALUE(order_data[[#This Row],[Date]])</f>
        <v>45684</v>
      </c>
    </row>
    <row r="4" spans="1:9" x14ac:dyDescent="0.25">
      <c r="A4">
        <v>1003</v>
      </c>
      <c r="B4" t="s">
        <v>10</v>
      </c>
      <c r="C4" t="s">
        <v>97</v>
      </c>
      <c r="D4" t="s">
        <v>102</v>
      </c>
      <c r="E4" t="s">
        <v>110</v>
      </c>
      <c r="F4">
        <v>10</v>
      </c>
      <c r="G4">
        <v>28151</v>
      </c>
      <c r="H4">
        <v>281510</v>
      </c>
      <c r="I4" s="5">
        <f>DATEVALUE(order_data[[#This Row],[Date]])</f>
        <v>45666</v>
      </c>
    </row>
    <row r="5" spans="1:9" x14ac:dyDescent="0.25">
      <c r="A5">
        <v>1004</v>
      </c>
      <c r="B5" t="s">
        <v>11</v>
      </c>
      <c r="C5" t="s">
        <v>98</v>
      </c>
      <c r="D5" t="s">
        <v>102</v>
      </c>
      <c r="E5" t="s">
        <v>110</v>
      </c>
      <c r="F5">
        <v>4</v>
      </c>
      <c r="G5">
        <v>15747</v>
      </c>
      <c r="H5">
        <v>62988</v>
      </c>
      <c r="I5" s="5">
        <f>DATEVALUE(order_data[[#This Row],[Date]])</f>
        <v>45787</v>
      </c>
    </row>
    <row r="6" spans="1:9" x14ac:dyDescent="0.25">
      <c r="A6">
        <v>1005</v>
      </c>
      <c r="B6" t="s">
        <v>12</v>
      </c>
      <c r="C6" t="s">
        <v>96</v>
      </c>
      <c r="D6" t="s">
        <v>104</v>
      </c>
      <c r="E6" t="s">
        <v>111</v>
      </c>
      <c r="F6">
        <v>9</v>
      </c>
      <c r="G6">
        <v>13531</v>
      </c>
      <c r="H6">
        <v>121779</v>
      </c>
      <c r="I6" s="5">
        <f>DATEVALUE(order_data[[#This Row],[Date]])</f>
        <v>45824</v>
      </c>
    </row>
    <row r="7" spans="1:9" x14ac:dyDescent="0.25">
      <c r="A7">
        <v>1006</v>
      </c>
      <c r="B7" t="s">
        <v>13</v>
      </c>
      <c r="C7" t="s">
        <v>99</v>
      </c>
      <c r="D7" t="s">
        <v>105</v>
      </c>
      <c r="E7" t="s">
        <v>111</v>
      </c>
      <c r="F7">
        <v>4</v>
      </c>
      <c r="G7">
        <v>29939</v>
      </c>
      <c r="H7">
        <v>119756</v>
      </c>
      <c r="I7" s="5">
        <f>DATEVALUE(order_data[[#This Row],[Date]])</f>
        <v>45808</v>
      </c>
    </row>
    <row r="8" spans="1:9" x14ac:dyDescent="0.25">
      <c r="A8">
        <v>1007</v>
      </c>
      <c r="B8" t="s">
        <v>14</v>
      </c>
      <c r="C8" t="s">
        <v>99</v>
      </c>
      <c r="D8" t="s">
        <v>104</v>
      </c>
      <c r="E8" t="s">
        <v>111</v>
      </c>
      <c r="F8">
        <v>3</v>
      </c>
      <c r="G8">
        <v>46253</v>
      </c>
      <c r="H8">
        <v>138759</v>
      </c>
      <c r="I8" s="5">
        <f>DATEVALUE(order_data[[#This Row],[Date]])</f>
        <v>45766</v>
      </c>
    </row>
    <row r="9" spans="1:9" x14ac:dyDescent="0.25">
      <c r="A9">
        <v>1008</v>
      </c>
      <c r="B9" t="s">
        <v>15</v>
      </c>
      <c r="C9" t="s">
        <v>97</v>
      </c>
      <c r="D9" t="s">
        <v>106</v>
      </c>
      <c r="E9" t="s">
        <v>110</v>
      </c>
      <c r="F9">
        <v>3</v>
      </c>
      <c r="G9">
        <v>14610</v>
      </c>
      <c r="H9">
        <v>43830</v>
      </c>
      <c r="I9" s="5">
        <f>DATEVALUE(order_data[[#This Row],[Date]])</f>
        <v>45744</v>
      </c>
    </row>
    <row r="10" spans="1:9" x14ac:dyDescent="0.25">
      <c r="A10">
        <v>1009</v>
      </c>
      <c r="B10" t="s">
        <v>16</v>
      </c>
      <c r="C10" t="s">
        <v>100</v>
      </c>
      <c r="D10" t="s">
        <v>102</v>
      </c>
      <c r="E10" t="s">
        <v>110</v>
      </c>
      <c r="F10">
        <v>7</v>
      </c>
      <c r="G10">
        <v>6838</v>
      </c>
      <c r="H10">
        <v>47866</v>
      </c>
      <c r="I10" s="5">
        <f>DATEVALUE(order_data[[#This Row],[Date]])</f>
        <v>45749</v>
      </c>
    </row>
    <row r="11" spans="1:9" x14ac:dyDescent="0.25">
      <c r="A11">
        <v>1010</v>
      </c>
      <c r="B11" t="s">
        <v>17</v>
      </c>
      <c r="C11" t="s">
        <v>96</v>
      </c>
      <c r="D11" t="s">
        <v>107</v>
      </c>
      <c r="E11" t="s">
        <v>111</v>
      </c>
      <c r="F11">
        <v>10</v>
      </c>
      <c r="G11">
        <v>17835</v>
      </c>
      <c r="H11">
        <v>178350</v>
      </c>
      <c r="I11" s="5">
        <f>DATEVALUE(order_data[[#This Row],[Date]])</f>
        <v>45669</v>
      </c>
    </row>
    <row r="12" spans="1:9" x14ac:dyDescent="0.25">
      <c r="A12">
        <v>1011</v>
      </c>
      <c r="B12" t="s">
        <v>18</v>
      </c>
      <c r="C12" t="s">
        <v>97</v>
      </c>
      <c r="D12" t="s">
        <v>108</v>
      </c>
      <c r="E12" t="s">
        <v>110</v>
      </c>
      <c r="F12">
        <v>9</v>
      </c>
      <c r="G12">
        <v>8680</v>
      </c>
      <c r="H12">
        <v>78120</v>
      </c>
      <c r="I12" s="5">
        <f>DATEVALUE(order_data[[#This Row],[Date]])</f>
        <v>45754</v>
      </c>
    </row>
    <row r="13" spans="1:9" x14ac:dyDescent="0.25">
      <c r="A13">
        <v>1012</v>
      </c>
      <c r="B13" t="s">
        <v>19</v>
      </c>
      <c r="C13" t="s">
        <v>98</v>
      </c>
      <c r="D13" t="s">
        <v>106</v>
      </c>
      <c r="E13" t="s">
        <v>110</v>
      </c>
      <c r="F13">
        <v>10</v>
      </c>
      <c r="G13">
        <v>58528</v>
      </c>
      <c r="H13">
        <v>585280</v>
      </c>
      <c r="I13" s="5">
        <f>DATEVALUE(order_data[[#This Row],[Date]])</f>
        <v>45750</v>
      </c>
    </row>
    <row r="14" spans="1:9" x14ac:dyDescent="0.25">
      <c r="A14">
        <v>1013</v>
      </c>
      <c r="B14" t="s">
        <v>20</v>
      </c>
      <c r="C14" t="s">
        <v>95</v>
      </c>
      <c r="D14" t="s">
        <v>103</v>
      </c>
      <c r="E14" t="s">
        <v>111</v>
      </c>
      <c r="F14">
        <v>2</v>
      </c>
      <c r="G14">
        <v>3503</v>
      </c>
      <c r="H14">
        <v>7006</v>
      </c>
      <c r="I14" s="5">
        <f>DATEVALUE(order_data[[#This Row],[Date]])</f>
        <v>45827</v>
      </c>
    </row>
    <row r="15" spans="1:9" x14ac:dyDescent="0.25">
      <c r="A15">
        <v>1014</v>
      </c>
      <c r="B15" t="s">
        <v>21</v>
      </c>
      <c r="C15" t="s">
        <v>100</v>
      </c>
      <c r="D15" t="s">
        <v>106</v>
      </c>
      <c r="E15" t="s">
        <v>110</v>
      </c>
      <c r="F15">
        <v>2</v>
      </c>
      <c r="G15">
        <v>56554</v>
      </c>
      <c r="H15">
        <v>113108</v>
      </c>
      <c r="I15" s="5">
        <f>DATEVALUE(order_data[[#This Row],[Date]])</f>
        <v>45717</v>
      </c>
    </row>
    <row r="16" spans="1:9" x14ac:dyDescent="0.25">
      <c r="A16">
        <v>1015</v>
      </c>
      <c r="B16" t="s">
        <v>22</v>
      </c>
      <c r="C16" t="s">
        <v>96</v>
      </c>
      <c r="D16" t="s">
        <v>102</v>
      </c>
      <c r="E16" t="s">
        <v>110</v>
      </c>
      <c r="F16">
        <v>7</v>
      </c>
      <c r="G16">
        <v>18717</v>
      </c>
      <c r="H16">
        <v>131019</v>
      </c>
      <c r="I16" s="5">
        <f>DATEVALUE(order_data[[#This Row],[Date]])</f>
        <v>45774</v>
      </c>
    </row>
    <row r="17" spans="1:9" x14ac:dyDescent="0.25">
      <c r="A17">
        <v>1016</v>
      </c>
      <c r="B17" t="s">
        <v>23</v>
      </c>
      <c r="C17" t="s">
        <v>95</v>
      </c>
      <c r="D17" t="s">
        <v>107</v>
      </c>
      <c r="E17" t="s">
        <v>111</v>
      </c>
      <c r="F17">
        <v>3</v>
      </c>
      <c r="G17">
        <v>24760</v>
      </c>
      <c r="H17">
        <v>74280</v>
      </c>
      <c r="I17" s="5">
        <f>DATEVALUE(order_data[[#This Row],[Date]])</f>
        <v>45748</v>
      </c>
    </row>
    <row r="18" spans="1:9" x14ac:dyDescent="0.25">
      <c r="A18">
        <v>1017</v>
      </c>
      <c r="B18" t="s">
        <v>24</v>
      </c>
      <c r="C18" t="s">
        <v>95</v>
      </c>
      <c r="D18" t="s">
        <v>106</v>
      </c>
      <c r="E18" t="s">
        <v>110</v>
      </c>
      <c r="F18">
        <v>2</v>
      </c>
      <c r="G18">
        <v>40420</v>
      </c>
      <c r="H18">
        <v>80840</v>
      </c>
      <c r="I18" s="5">
        <f>DATEVALUE(order_data[[#This Row],[Date]])</f>
        <v>45820</v>
      </c>
    </row>
    <row r="19" spans="1:9" x14ac:dyDescent="0.25">
      <c r="A19">
        <v>1018</v>
      </c>
      <c r="B19" t="s">
        <v>25</v>
      </c>
      <c r="C19" t="s">
        <v>99</v>
      </c>
      <c r="D19" t="s">
        <v>103</v>
      </c>
      <c r="E19" t="s">
        <v>111</v>
      </c>
      <c r="F19">
        <v>3</v>
      </c>
      <c r="G19">
        <v>30794</v>
      </c>
      <c r="H19">
        <v>92382</v>
      </c>
      <c r="I19" s="5">
        <f>DATEVALUE(order_data[[#This Row],[Date]])</f>
        <v>45755</v>
      </c>
    </row>
    <row r="20" spans="1:9" x14ac:dyDescent="0.25">
      <c r="A20">
        <v>1019</v>
      </c>
      <c r="B20" t="s">
        <v>26</v>
      </c>
      <c r="C20" t="s">
        <v>95</v>
      </c>
      <c r="D20" t="s">
        <v>103</v>
      </c>
      <c r="E20" t="s">
        <v>111</v>
      </c>
      <c r="F20">
        <v>6</v>
      </c>
      <c r="G20">
        <v>55737</v>
      </c>
      <c r="H20">
        <v>334422</v>
      </c>
      <c r="I20" s="5">
        <f>DATEVALUE(order_data[[#This Row],[Date]])</f>
        <v>45672</v>
      </c>
    </row>
    <row r="21" spans="1:9" x14ac:dyDescent="0.25">
      <c r="A21">
        <v>1020</v>
      </c>
      <c r="B21" t="s">
        <v>27</v>
      </c>
      <c r="C21" t="s">
        <v>97</v>
      </c>
      <c r="D21" t="s">
        <v>104</v>
      </c>
      <c r="E21" t="s">
        <v>111</v>
      </c>
      <c r="F21">
        <v>6</v>
      </c>
      <c r="G21">
        <v>26790</v>
      </c>
      <c r="H21">
        <v>160740</v>
      </c>
      <c r="I21" s="5">
        <f>DATEVALUE(order_data[[#This Row],[Date]])</f>
        <v>45726</v>
      </c>
    </row>
    <row r="22" spans="1:9" x14ac:dyDescent="0.25">
      <c r="A22">
        <v>1021</v>
      </c>
      <c r="B22" t="s">
        <v>28</v>
      </c>
      <c r="C22" t="s">
        <v>95</v>
      </c>
      <c r="D22" t="s">
        <v>103</v>
      </c>
      <c r="E22" t="s">
        <v>111</v>
      </c>
      <c r="F22">
        <v>10</v>
      </c>
      <c r="G22">
        <v>57933</v>
      </c>
      <c r="H22">
        <v>579330</v>
      </c>
      <c r="I22" s="5">
        <f>DATEVALUE(order_data[[#This Row],[Date]])</f>
        <v>45738</v>
      </c>
    </row>
    <row r="23" spans="1:9" x14ac:dyDescent="0.25">
      <c r="A23">
        <v>1022</v>
      </c>
      <c r="B23" t="s">
        <v>29</v>
      </c>
      <c r="C23" t="s">
        <v>101</v>
      </c>
      <c r="D23" t="s">
        <v>108</v>
      </c>
      <c r="E23" t="s">
        <v>110</v>
      </c>
      <c r="F23">
        <v>7</v>
      </c>
      <c r="G23">
        <v>58478</v>
      </c>
      <c r="H23">
        <v>409346</v>
      </c>
      <c r="I23" s="5">
        <f>DATEVALUE(order_data[[#This Row],[Date]])</f>
        <v>45822</v>
      </c>
    </row>
    <row r="24" spans="1:9" x14ac:dyDescent="0.25">
      <c r="A24">
        <v>1023</v>
      </c>
      <c r="B24" t="s">
        <v>30</v>
      </c>
      <c r="C24" t="s">
        <v>96</v>
      </c>
      <c r="D24" t="s">
        <v>109</v>
      </c>
      <c r="E24" t="s">
        <v>110</v>
      </c>
      <c r="F24">
        <v>5</v>
      </c>
      <c r="G24">
        <v>9650</v>
      </c>
      <c r="H24">
        <v>48250</v>
      </c>
      <c r="I24" s="5">
        <f>DATEVALUE(order_data[[#This Row],[Date]])</f>
        <v>45721</v>
      </c>
    </row>
    <row r="25" spans="1:9" x14ac:dyDescent="0.25">
      <c r="A25">
        <v>1024</v>
      </c>
      <c r="B25" t="s">
        <v>31</v>
      </c>
      <c r="C25" t="s">
        <v>101</v>
      </c>
      <c r="D25" t="s">
        <v>106</v>
      </c>
      <c r="E25" t="s">
        <v>110</v>
      </c>
      <c r="F25">
        <v>10</v>
      </c>
      <c r="G25">
        <v>28577</v>
      </c>
      <c r="H25">
        <v>285770</v>
      </c>
      <c r="I25" s="5">
        <f>DATEVALUE(order_data[[#This Row],[Date]])</f>
        <v>45807</v>
      </c>
    </row>
    <row r="26" spans="1:9" x14ac:dyDescent="0.25">
      <c r="A26">
        <v>1025</v>
      </c>
      <c r="B26" t="s">
        <v>32</v>
      </c>
      <c r="C26" t="s">
        <v>101</v>
      </c>
      <c r="D26" t="s">
        <v>107</v>
      </c>
      <c r="E26" t="s">
        <v>111</v>
      </c>
      <c r="F26">
        <v>4</v>
      </c>
      <c r="G26">
        <v>9565</v>
      </c>
      <c r="H26">
        <v>38260</v>
      </c>
      <c r="I26" s="5">
        <f>DATEVALUE(order_data[[#This Row],[Date]])</f>
        <v>45788</v>
      </c>
    </row>
    <row r="27" spans="1:9" x14ac:dyDescent="0.25">
      <c r="A27">
        <v>1026</v>
      </c>
      <c r="B27" t="s">
        <v>33</v>
      </c>
      <c r="C27" t="s">
        <v>95</v>
      </c>
      <c r="D27" t="s">
        <v>102</v>
      </c>
      <c r="E27" t="s">
        <v>110</v>
      </c>
      <c r="F27">
        <v>1</v>
      </c>
      <c r="G27">
        <v>56933</v>
      </c>
      <c r="H27">
        <v>56933</v>
      </c>
      <c r="I27" s="5">
        <f>DATEVALUE(order_data[[#This Row],[Date]])</f>
        <v>45686</v>
      </c>
    </row>
    <row r="28" spans="1:9" x14ac:dyDescent="0.25">
      <c r="A28">
        <v>1027</v>
      </c>
      <c r="B28" t="s">
        <v>34</v>
      </c>
      <c r="C28" t="s">
        <v>101</v>
      </c>
      <c r="D28" t="s">
        <v>109</v>
      </c>
      <c r="E28" t="s">
        <v>110</v>
      </c>
      <c r="F28">
        <v>7</v>
      </c>
      <c r="G28">
        <v>39586</v>
      </c>
      <c r="H28">
        <v>277102</v>
      </c>
      <c r="I28" s="5">
        <f>DATEVALUE(order_data[[#This Row],[Date]])</f>
        <v>45674</v>
      </c>
    </row>
    <row r="29" spans="1:9" x14ac:dyDescent="0.25">
      <c r="A29">
        <v>1028</v>
      </c>
      <c r="B29" t="s">
        <v>35</v>
      </c>
      <c r="C29" t="s">
        <v>99</v>
      </c>
      <c r="D29" t="s">
        <v>105</v>
      </c>
      <c r="E29" t="s">
        <v>111</v>
      </c>
      <c r="F29">
        <v>10</v>
      </c>
      <c r="G29">
        <v>31174</v>
      </c>
      <c r="H29">
        <v>311740</v>
      </c>
      <c r="I29" s="5">
        <f>DATEVALUE(order_data[[#This Row],[Date]])</f>
        <v>45793</v>
      </c>
    </row>
    <row r="30" spans="1:9" x14ac:dyDescent="0.25">
      <c r="A30">
        <v>1029</v>
      </c>
      <c r="B30" t="s">
        <v>36</v>
      </c>
      <c r="C30" t="s">
        <v>100</v>
      </c>
      <c r="D30" t="s">
        <v>104</v>
      </c>
      <c r="E30" t="s">
        <v>111</v>
      </c>
      <c r="F30">
        <v>2</v>
      </c>
      <c r="G30">
        <v>45176</v>
      </c>
      <c r="H30">
        <v>90352</v>
      </c>
      <c r="I30" s="5">
        <f>DATEVALUE(order_data[[#This Row],[Date]])</f>
        <v>45795</v>
      </c>
    </row>
    <row r="31" spans="1:9" x14ac:dyDescent="0.25">
      <c r="A31">
        <v>1030</v>
      </c>
      <c r="B31" t="s">
        <v>37</v>
      </c>
      <c r="C31" t="s">
        <v>101</v>
      </c>
      <c r="D31" t="s">
        <v>106</v>
      </c>
      <c r="E31" t="s">
        <v>110</v>
      </c>
      <c r="F31">
        <v>6</v>
      </c>
      <c r="G31">
        <v>7810</v>
      </c>
      <c r="H31">
        <v>46860</v>
      </c>
      <c r="I31" s="5">
        <f>DATEVALUE(order_data[[#This Row],[Date]])</f>
        <v>45733</v>
      </c>
    </row>
    <row r="32" spans="1:9" x14ac:dyDescent="0.25">
      <c r="A32">
        <v>1031</v>
      </c>
      <c r="B32" t="s">
        <v>38</v>
      </c>
      <c r="C32" t="s">
        <v>98</v>
      </c>
      <c r="D32" t="s">
        <v>109</v>
      </c>
      <c r="E32" t="s">
        <v>110</v>
      </c>
      <c r="F32">
        <v>8</v>
      </c>
      <c r="G32">
        <v>712</v>
      </c>
      <c r="H32">
        <v>5696</v>
      </c>
      <c r="I32" s="5">
        <f>DATEVALUE(order_data[[#This Row],[Date]])</f>
        <v>45725</v>
      </c>
    </row>
    <row r="33" spans="1:9" x14ac:dyDescent="0.25">
      <c r="A33">
        <v>1032</v>
      </c>
      <c r="B33" t="s">
        <v>39</v>
      </c>
      <c r="C33" t="s">
        <v>99</v>
      </c>
      <c r="D33" t="s">
        <v>109</v>
      </c>
      <c r="E33" t="s">
        <v>110</v>
      </c>
      <c r="F33">
        <v>9</v>
      </c>
      <c r="G33">
        <v>7473</v>
      </c>
      <c r="H33">
        <v>67257</v>
      </c>
      <c r="I33" s="5">
        <f>DATEVALUE(order_data[[#This Row],[Date]])</f>
        <v>45818</v>
      </c>
    </row>
    <row r="34" spans="1:9" x14ac:dyDescent="0.25">
      <c r="A34">
        <v>1033</v>
      </c>
      <c r="B34" t="s">
        <v>40</v>
      </c>
      <c r="C34" t="s">
        <v>98</v>
      </c>
      <c r="D34" t="s">
        <v>103</v>
      </c>
      <c r="E34" t="s">
        <v>111</v>
      </c>
      <c r="F34">
        <v>3</v>
      </c>
      <c r="G34">
        <v>25004</v>
      </c>
      <c r="H34">
        <v>75012</v>
      </c>
      <c r="I34" s="5">
        <f>DATEVALUE(order_data[[#This Row],[Date]])</f>
        <v>45699</v>
      </c>
    </row>
    <row r="35" spans="1:9" x14ac:dyDescent="0.25">
      <c r="A35">
        <v>1034</v>
      </c>
      <c r="B35" t="s">
        <v>41</v>
      </c>
      <c r="C35" t="s">
        <v>97</v>
      </c>
      <c r="D35" t="s">
        <v>104</v>
      </c>
      <c r="E35" t="s">
        <v>111</v>
      </c>
      <c r="F35">
        <v>10</v>
      </c>
      <c r="G35">
        <v>21743</v>
      </c>
      <c r="H35">
        <v>217430</v>
      </c>
      <c r="I35" s="5">
        <f>DATEVALUE(order_data[[#This Row],[Date]])</f>
        <v>45783</v>
      </c>
    </row>
    <row r="36" spans="1:9" x14ac:dyDescent="0.25">
      <c r="A36">
        <v>1035</v>
      </c>
      <c r="B36" t="s">
        <v>42</v>
      </c>
      <c r="C36" t="s">
        <v>95</v>
      </c>
      <c r="D36" t="s">
        <v>102</v>
      </c>
      <c r="E36" t="s">
        <v>110</v>
      </c>
      <c r="F36">
        <v>6</v>
      </c>
      <c r="G36">
        <v>58087</v>
      </c>
      <c r="H36">
        <v>348522</v>
      </c>
      <c r="I36" s="5">
        <f>DATEVALUE(order_data[[#This Row],[Date]])</f>
        <v>45736</v>
      </c>
    </row>
    <row r="37" spans="1:9" x14ac:dyDescent="0.25">
      <c r="A37">
        <v>1036</v>
      </c>
      <c r="B37" t="s">
        <v>43</v>
      </c>
      <c r="C37" t="s">
        <v>97</v>
      </c>
      <c r="D37" t="s">
        <v>104</v>
      </c>
      <c r="E37" t="s">
        <v>111</v>
      </c>
      <c r="F37">
        <v>4</v>
      </c>
      <c r="G37">
        <v>58041</v>
      </c>
      <c r="H37">
        <v>232164</v>
      </c>
      <c r="I37" s="5">
        <f>DATEVALUE(order_data[[#This Row],[Date]])</f>
        <v>45803</v>
      </c>
    </row>
    <row r="38" spans="1:9" x14ac:dyDescent="0.25">
      <c r="A38">
        <v>1037</v>
      </c>
      <c r="B38" t="s">
        <v>44</v>
      </c>
      <c r="C38" t="s">
        <v>100</v>
      </c>
      <c r="D38" t="s">
        <v>102</v>
      </c>
      <c r="E38" t="s">
        <v>110</v>
      </c>
      <c r="F38">
        <v>8</v>
      </c>
      <c r="G38">
        <v>53978</v>
      </c>
      <c r="H38">
        <v>431824</v>
      </c>
      <c r="I38" s="5">
        <f>DATEVALUE(order_data[[#This Row],[Date]])</f>
        <v>45675</v>
      </c>
    </row>
    <row r="39" spans="1:9" x14ac:dyDescent="0.25">
      <c r="A39">
        <v>1038</v>
      </c>
      <c r="B39" t="s">
        <v>45</v>
      </c>
      <c r="C39" t="s">
        <v>98</v>
      </c>
      <c r="D39" t="s">
        <v>109</v>
      </c>
      <c r="E39" t="s">
        <v>110</v>
      </c>
      <c r="F39">
        <v>3</v>
      </c>
      <c r="G39">
        <v>43737</v>
      </c>
      <c r="H39">
        <v>131211</v>
      </c>
      <c r="I39" s="5">
        <f>DATEVALUE(order_data[[#This Row],[Date]])</f>
        <v>45779</v>
      </c>
    </row>
    <row r="40" spans="1:9" x14ac:dyDescent="0.25">
      <c r="A40">
        <v>1039</v>
      </c>
      <c r="B40" t="s">
        <v>46</v>
      </c>
      <c r="C40" t="s">
        <v>101</v>
      </c>
      <c r="D40" t="s">
        <v>109</v>
      </c>
      <c r="E40" t="s">
        <v>110</v>
      </c>
      <c r="F40">
        <v>5</v>
      </c>
      <c r="G40">
        <v>35081</v>
      </c>
      <c r="H40">
        <v>175405</v>
      </c>
      <c r="I40" s="5">
        <f>DATEVALUE(order_data[[#This Row],[Date]])</f>
        <v>45813</v>
      </c>
    </row>
    <row r="41" spans="1:9" x14ac:dyDescent="0.25">
      <c r="A41">
        <v>1040</v>
      </c>
      <c r="B41" t="s">
        <v>47</v>
      </c>
      <c r="C41" t="s">
        <v>95</v>
      </c>
      <c r="D41" t="s">
        <v>103</v>
      </c>
      <c r="E41" t="s">
        <v>111</v>
      </c>
      <c r="F41">
        <v>9</v>
      </c>
      <c r="G41">
        <v>49997</v>
      </c>
      <c r="H41">
        <v>449973</v>
      </c>
      <c r="I41" s="5">
        <f>DATEVALUE(order_data[[#This Row],[Date]])</f>
        <v>45834</v>
      </c>
    </row>
    <row r="42" spans="1:9" x14ac:dyDescent="0.25">
      <c r="A42">
        <v>1041</v>
      </c>
      <c r="B42" t="s">
        <v>12</v>
      </c>
      <c r="C42" t="s">
        <v>99</v>
      </c>
      <c r="D42" t="s">
        <v>106</v>
      </c>
      <c r="E42" t="s">
        <v>110</v>
      </c>
      <c r="F42">
        <v>7</v>
      </c>
      <c r="G42">
        <v>44519</v>
      </c>
      <c r="H42">
        <v>311633</v>
      </c>
      <c r="I42" s="5">
        <f>DATEVALUE(order_data[[#This Row],[Date]])</f>
        <v>45824</v>
      </c>
    </row>
    <row r="43" spans="1:9" x14ac:dyDescent="0.25">
      <c r="A43">
        <v>1042</v>
      </c>
      <c r="B43" t="s">
        <v>48</v>
      </c>
      <c r="C43" t="s">
        <v>95</v>
      </c>
      <c r="D43" t="s">
        <v>108</v>
      </c>
      <c r="E43" t="s">
        <v>110</v>
      </c>
      <c r="F43">
        <v>9</v>
      </c>
      <c r="G43">
        <v>30088</v>
      </c>
      <c r="H43">
        <v>270792</v>
      </c>
      <c r="I43" s="5">
        <f>DATEVALUE(order_data[[#This Row],[Date]])</f>
        <v>45688</v>
      </c>
    </row>
    <row r="44" spans="1:9" x14ac:dyDescent="0.25">
      <c r="A44">
        <v>1043</v>
      </c>
      <c r="B44" t="s">
        <v>49</v>
      </c>
      <c r="C44" t="s">
        <v>98</v>
      </c>
      <c r="D44" t="s">
        <v>103</v>
      </c>
      <c r="E44" t="s">
        <v>111</v>
      </c>
      <c r="F44">
        <v>2</v>
      </c>
      <c r="G44">
        <v>22656</v>
      </c>
      <c r="H44">
        <v>45312</v>
      </c>
      <c r="I44" s="5">
        <f>DATEVALUE(order_data[[#This Row],[Date]])</f>
        <v>45663</v>
      </c>
    </row>
    <row r="45" spans="1:9" x14ac:dyDescent="0.25">
      <c r="A45">
        <v>1044</v>
      </c>
      <c r="B45" t="s">
        <v>50</v>
      </c>
      <c r="C45" t="s">
        <v>97</v>
      </c>
      <c r="D45" t="s">
        <v>103</v>
      </c>
      <c r="E45" t="s">
        <v>111</v>
      </c>
      <c r="F45">
        <v>10</v>
      </c>
      <c r="G45">
        <v>14932</v>
      </c>
      <c r="H45">
        <v>149320</v>
      </c>
      <c r="I45" s="5">
        <f>DATEVALUE(order_data[[#This Row],[Date]])</f>
        <v>45659</v>
      </c>
    </row>
    <row r="46" spans="1:9" x14ac:dyDescent="0.25">
      <c r="A46">
        <v>1045</v>
      </c>
      <c r="B46" t="s">
        <v>10</v>
      </c>
      <c r="C46" t="s">
        <v>100</v>
      </c>
      <c r="D46" t="s">
        <v>104</v>
      </c>
      <c r="E46" t="s">
        <v>111</v>
      </c>
      <c r="F46">
        <v>4</v>
      </c>
      <c r="G46">
        <v>4917</v>
      </c>
      <c r="H46">
        <v>19668</v>
      </c>
      <c r="I46" s="5">
        <f>DATEVALUE(order_data[[#This Row],[Date]])</f>
        <v>45666</v>
      </c>
    </row>
    <row r="47" spans="1:9" x14ac:dyDescent="0.25">
      <c r="A47">
        <v>1046</v>
      </c>
      <c r="B47" t="s">
        <v>51</v>
      </c>
      <c r="C47" t="s">
        <v>99</v>
      </c>
      <c r="D47" t="s">
        <v>107</v>
      </c>
      <c r="E47" t="s">
        <v>111</v>
      </c>
      <c r="F47">
        <v>2</v>
      </c>
      <c r="G47">
        <v>34195</v>
      </c>
      <c r="H47">
        <v>68390</v>
      </c>
      <c r="I47" s="5">
        <f>DATEVALUE(order_data[[#This Row],[Date]])</f>
        <v>45718</v>
      </c>
    </row>
    <row r="48" spans="1:9" x14ac:dyDescent="0.25">
      <c r="A48">
        <v>1047</v>
      </c>
      <c r="B48" t="s">
        <v>52</v>
      </c>
      <c r="C48" t="s">
        <v>96</v>
      </c>
      <c r="D48" t="s">
        <v>108</v>
      </c>
      <c r="E48" t="s">
        <v>110</v>
      </c>
      <c r="F48">
        <v>4</v>
      </c>
      <c r="G48">
        <v>35839</v>
      </c>
      <c r="H48">
        <v>143356</v>
      </c>
      <c r="I48" s="5">
        <f>DATEVALUE(order_data[[#This Row],[Date]])</f>
        <v>45691</v>
      </c>
    </row>
    <row r="49" spans="1:9" x14ac:dyDescent="0.25">
      <c r="A49">
        <v>1048</v>
      </c>
      <c r="B49" t="s">
        <v>45</v>
      </c>
      <c r="C49" t="s">
        <v>100</v>
      </c>
      <c r="D49" t="s">
        <v>108</v>
      </c>
      <c r="E49" t="s">
        <v>110</v>
      </c>
      <c r="F49">
        <v>4</v>
      </c>
      <c r="G49">
        <v>51920</v>
      </c>
      <c r="H49">
        <v>207680</v>
      </c>
      <c r="I49" s="5">
        <f>DATEVALUE(order_data[[#This Row],[Date]])</f>
        <v>45779</v>
      </c>
    </row>
    <row r="50" spans="1:9" x14ac:dyDescent="0.25">
      <c r="A50">
        <v>1049</v>
      </c>
      <c r="B50" t="s">
        <v>53</v>
      </c>
      <c r="C50" t="s">
        <v>96</v>
      </c>
      <c r="D50" t="s">
        <v>105</v>
      </c>
      <c r="E50" t="s">
        <v>111</v>
      </c>
      <c r="F50">
        <v>4</v>
      </c>
      <c r="G50">
        <v>6681</v>
      </c>
      <c r="H50">
        <v>26724</v>
      </c>
      <c r="I50" s="5">
        <f>DATEVALUE(order_data[[#This Row],[Date]])</f>
        <v>45682</v>
      </c>
    </row>
    <row r="51" spans="1:9" x14ac:dyDescent="0.25">
      <c r="A51">
        <v>1050</v>
      </c>
      <c r="B51" t="s">
        <v>54</v>
      </c>
      <c r="C51" t="s">
        <v>101</v>
      </c>
      <c r="D51" t="s">
        <v>105</v>
      </c>
      <c r="E51" t="s">
        <v>111</v>
      </c>
      <c r="F51">
        <v>6</v>
      </c>
      <c r="G51">
        <v>28259</v>
      </c>
      <c r="H51">
        <v>169554</v>
      </c>
      <c r="I51" s="5">
        <f>DATEVALUE(order_data[[#This Row],[Date]])</f>
        <v>45763</v>
      </c>
    </row>
    <row r="52" spans="1:9" x14ac:dyDescent="0.25">
      <c r="A52">
        <v>1051</v>
      </c>
      <c r="B52" t="s">
        <v>55</v>
      </c>
      <c r="C52" t="s">
        <v>96</v>
      </c>
      <c r="D52" t="s">
        <v>104</v>
      </c>
      <c r="E52" t="s">
        <v>111</v>
      </c>
      <c r="F52">
        <v>2</v>
      </c>
      <c r="G52">
        <v>4472</v>
      </c>
      <c r="H52">
        <v>8944</v>
      </c>
      <c r="I52" s="5">
        <f>DATEVALUE(order_data[[#This Row],[Date]])</f>
        <v>45761</v>
      </c>
    </row>
    <row r="53" spans="1:9" x14ac:dyDescent="0.25">
      <c r="A53">
        <v>1052</v>
      </c>
      <c r="B53" t="s">
        <v>56</v>
      </c>
      <c r="C53" t="s">
        <v>95</v>
      </c>
      <c r="D53" t="s">
        <v>107</v>
      </c>
      <c r="E53" t="s">
        <v>111</v>
      </c>
      <c r="F53">
        <v>2</v>
      </c>
      <c r="G53">
        <v>16795</v>
      </c>
      <c r="H53">
        <v>33590</v>
      </c>
      <c r="I53" s="5">
        <f>DATEVALUE(order_data[[#This Row],[Date]])</f>
        <v>45707</v>
      </c>
    </row>
    <row r="54" spans="1:9" x14ac:dyDescent="0.25">
      <c r="A54">
        <v>1053</v>
      </c>
      <c r="B54" t="s">
        <v>57</v>
      </c>
      <c r="C54" t="s">
        <v>99</v>
      </c>
      <c r="D54" t="s">
        <v>108</v>
      </c>
      <c r="E54" t="s">
        <v>110</v>
      </c>
      <c r="F54">
        <v>3</v>
      </c>
      <c r="G54">
        <v>28148</v>
      </c>
      <c r="H54">
        <v>84444</v>
      </c>
      <c r="I54" s="5">
        <f>DATEVALUE(order_data[[#This Row],[Date]])</f>
        <v>45704</v>
      </c>
    </row>
    <row r="55" spans="1:9" x14ac:dyDescent="0.25">
      <c r="A55">
        <v>1054</v>
      </c>
      <c r="B55" t="s">
        <v>58</v>
      </c>
      <c r="C55" t="s">
        <v>101</v>
      </c>
      <c r="D55" t="s">
        <v>108</v>
      </c>
      <c r="E55" t="s">
        <v>110</v>
      </c>
      <c r="F55">
        <v>4</v>
      </c>
      <c r="G55">
        <v>57810</v>
      </c>
      <c r="H55">
        <v>231240</v>
      </c>
      <c r="I55" s="5">
        <f>DATEVALUE(order_data[[#This Row],[Date]])</f>
        <v>45677</v>
      </c>
    </row>
    <row r="56" spans="1:9" x14ac:dyDescent="0.25">
      <c r="A56">
        <v>1055</v>
      </c>
      <c r="B56" t="s">
        <v>59</v>
      </c>
      <c r="C56" t="s">
        <v>100</v>
      </c>
      <c r="D56" t="s">
        <v>102</v>
      </c>
      <c r="E56" t="s">
        <v>110</v>
      </c>
      <c r="F56">
        <v>1</v>
      </c>
      <c r="G56">
        <v>43238</v>
      </c>
      <c r="H56">
        <v>43238</v>
      </c>
      <c r="I56" s="5">
        <f>DATEVALUE(order_data[[#This Row],[Date]])</f>
        <v>45796</v>
      </c>
    </row>
    <row r="57" spans="1:9" x14ac:dyDescent="0.25">
      <c r="A57">
        <v>1056</v>
      </c>
      <c r="B57" t="s">
        <v>51</v>
      </c>
      <c r="C57" t="s">
        <v>95</v>
      </c>
      <c r="D57" t="s">
        <v>104</v>
      </c>
      <c r="E57" t="s">
        <v>111</v>
      </c>
      <c r="F57">
        <v>2</v>
      </c>
      <c r="G57">
        <v>49885</v>
      </c>
      <c r="H57">
        <v>99770</v>
      </c>
      <c r="I57" s="5">
        <f>DATEVALUE(order_data[[#This Row],[Date]])</f>
        <v>45718</v>
      </c>
    </row>
    <row r="58" spans="1:9" x14ac:dyDescent="0.25">
      <c r="A58">
        <v>1057</v>
      </c>
      <c r="B58" t="s">
        <v>60</v>
      </c>
      <c r="C58" t="s">
        <v>100</v>
      </c>
      <c r="D58" t="s">
        <v>105</v>
      </c>
      <c r="E58" t="s">
        <v>111</v>
      </c>
      <c r="F58">
        <v>8</v>
      </c>
      <c r="G58">
        <v>32046</v>
      </c>
      <c r="H58">
        <v>256368</v>
      </c>
      <c r="I58" s="5">
        <f>DATEVALUE(order_data[[#This Row],[Date]])</f>
        <v>45712</v>
      </c>
    </row>
    <row r="59" spans="1:9" x14ac:dyDescent="0.25">
      <c r="A59">
        <v>1058</v>
      </c>
      <c r="B59" t="s">
        <v>25</v>
      </c>
      <c r="C59" t="s">
        <v>97</v>
      </c>
      <c r="D59" t="s">
        <v>105</v>
      </c>
      <c r="E59" t="s">
        <v>111</v>
      </c>
      <c r="F59">
        <v>1</v>
      </c>
      <c r="G59">
        <v>11289</v>
      </c>
      <c r="H59">
        <v>11289</v>
      </c>
      <c r="I59" s="5">
        <f>DATEVALUE(order_data[[#This Row],[Date]])</f>
        <v>45755</v>
      </c>
    </row>
    <row r="60" spans="1:9" x14ac:dyDescent="0.25">
      <c r="A60">
        <v>1059</v>
      </c>
      <c r="B60" t="s">
        <v>22</v>
      </c>
      <c r="C60" t="s">
        <v>99</v>
      </c>
      <c r="D60" t="s">
        <v>105</v>
      </c>
      <c r="E60" t="s">
        <v>111</v>
      </c>
      <c r="F60">
        <v>5</v>
      </c>
      <c r="G60">
        <v>51884</v>
      </c>
      <c r="H60">
        <v>259420</v>
      </c>
      <c r="I60" s="5">
        <f>DATEVALUE(order_data[[#This Row],[Date]])</f>
        <v>45774</v>
      </c>
    </row>
    <row r="61" spans="1:9" x14ac:dyDescent="0.25">
      <c r="A61">
        <v>1060</v>
      </c>
      <c r="B61" t="s">
        <v>61</v>
      </c>
      <c r="C61" t="s">
        <v>95</v>
      </c>
      <c r="D61" t="s">
        <v>105</v>
      </c>
      <c r="E61" t="s">
        <v>111</v>
      </c>
      <c r="F61">
        <v>9</v>
      </c>
      <c r="G61">
        <v>43876</v>
      </c>
      <c r="H61">
        <v>394884</v>
      </c>
      <c r="I61" s="5">
        <f>DATEVALUE(order_data[[#This Row],[Date]])</f>
        <v>45782</v>
      </c>
    </row>
    <row r="62" spans="1:9" x14ac:dyDescent="0.25">
      <c r="A62">
        <v>1061</v>
      </c>
      <c r="B62" t="s">
        <v>26</v>
      </c>
      <c r="C62" t="s">
        <v>98</v>
      </c>
      <c r="D62" t="s">
        <v>103</v>
      </c>
      <c r="E62" t="s">
        <v>111</v>
      </c>
      <c r="F62">
        <v>5</v>
      </c>
      <c r="G62">
        <v>14767</v>
      </c>
      <c r="H62">
        <v>73835</v>
      </c>
      <c r="I62" s="5">
        <f>DATEVALUE(order_data[[#This Row],[Date]])</f>
        <v>45672</v>
      </c>
    </row>
    <row r="63" spans="1:9" x14ac:dyDescent="0.25">
      <c r="A63">
        <v>1062</v>
      </c>
      <c r="B63" t="s">
        <v>62</v>
      </c>
      <c r="C63" t="s">
        <v>98</v>
      </c>
      <c r="D63" t="s">
        <v>104</v>
      </c>
      <c r="E63" t="s">
        <v>111</v>
      </c>
      <c r="F63">
        <v>6</v>
      </c>
      <c r="G63">
        <v>4246</v>
      </c>
      <c r="H63">
        <v>25476</v>
      </c>
      <c r="I63" s="5">
        <f>DATEVALUE(order_data[[#This Row],[Date]])</f>
        <v>45670</v>
      </c>
    </row>
    <row r="64" spans="1:9" x14ac:dyDescent="0.25">
      <c r="A64">
        <v>1063</v>
      </c>
      <c r="B64" t="s">
        <v>35</v>
      </c>
      <c r="C64" t="s">
        <v>95</v>
      </c>
      <c r="D64" t="s">
        <v>108</v>
      </c>
      <c r="E64" t="s">
        <v>110</v>
      </c>
      <c r="F64">
        <v>9</v>
      </c>
      <c r="G64">
        <v>56383</v>
      </c>
      <c r="H64">
        <v>507447</v>
      </c>
      <c r="I64" s="5">
        <f>DATEVALUE(order_data[[#This Row],[Date]])</f>
        <v>45793</v>
      </c>
    </row>
    <row r="65" spans="1:9" x14ac:dyDescent="0.25">
      <c r="A65">
        <v>1064</v>
      </c>
      <c r="B65" t="s">
        <v>63</v>
      </c>
      <c r="C65" t="s">
        <v>97</v>
      </c>
      <c r="D65" t="s">
        <v>104</v>
      </c>
      <c r="E65" t="s">
        <v>111</v>
      </c>
      <c r="F65">
        <v>9</v>
      </c>
      <c r="G65">
        <v>5750</v>
      </c>
      <c r="H65">
        <v>51750</v>
      </c>
      <c r="I65" s="5">
        <f>DATEVALUE(order_data[[#This Row],[Date]])</f>
        <v>45705</v>
      </c>
    </row>
    <row r="66" spans="1:9" x14ac:dyDescent="0.25">
      <c r="A66">
        <v>1065</v>
      </c>
      <c r="B66" t="s">
        <v>48</v>
      </c>
      <c r="C66" t="s">
        <v>98</v>
      </c>
      <c r="D66" t="s">
        <v>102</v>
      </c>
      <c r="E66" t="s">
        <v>110</v>
      </c>
      <c r="F66">
        <v>4</v>
      </c>
      <c r="G66">
        <v>26961</v>
      </c>
      <c r="H66">
        <v>107844</v>
      </c>
      <c r="I66" s="5">
        <f>DATEVALUE(order_data[[#This Row],[Date]])</f>
        <v>45688</v>
      </c>
    </row>
    <row r="67" spans="1:9" x14ac:dyDescent="0.25">
      <c r="A67">
        <v>1066</v>
      </c>
      <c r="B67" t="s">
        <v>64</v>
      </c>
      <c r="C67" t="s">
        <v>98</v>
      </c>
      <c r="D67" t="s">
        <v>103</v>
      </c>
      <c r="E67" t="s">
        <v>111</v>
      </c>
      <c r="F67">
        <v>10</v>
      </c>
      <c r="G67">
        <v>39462</v>
      </c>
      <c r="H67">
        <v>394620</v>
      </c>
      <c r="I67" s="5">
        <f>DATEVALUE(order_data[[#This Row],[Date]])</f>
        <v>45668</v>
      </c>
    </row>
    <row r="68" spans="1:9" x14ac:dyDescent="0.25">
      <c r="A68">
        <v>1067</v>
      </c>
      <c r="B68" t="s">
        <v>31</v>
      </c>
      <c r="C68" t="s">
        <v>98</v>
      </c>
      <c r="D68" t="s">
        <v>102</v>
      </c>
      <c r="E68" t="s">
        <v>110</v>
      </c>
      <c r="F68">
        <v>7</v>
      </c>
      <c r="G68">
        <v>43581</v>
      </c>
      <c r="H68">
        <v>305067</v>
      </c>
      <c r="I68" s="5">
        <f>DATEVALUE(order_data[[#This Row],[Date]])</f>
        <v>45807</v>
      </c>
    </row>
    <row r="69" spans="1:9" x14ac:dyDescent="0.25">
      <c r="A69">
        <v>1068</v>
      </c>
      <c r="B69" t="s">
        <v>65</v>
      </c>
      <c r="C69" t="s">
        <v>96</v>
      </c>
      <c r="D69" t="s">
        <v>107</v>
      </c>
      <c r="E69" t="s">
        <v>111</v>
      </c>
      <c r="F69">
        <v>5</v>
      </c>
      <c r="G69">
        <v>13886</v>
      </c>
      <c r="H69">
        <v>69430</v>
      </c>
      <c r="I69" s="5">
        <f>DATEVALUE(order_data[[#This Row],[Date]])</f>
        <v>45829</v>
      </c>
    </row>
    <row r="70" spans="1:9" x14ac:dyDescent="0.25">
      <c r="A70">
        <v>1069</v>
      </c>
      <c r="B70" t="s">
        <v>66</v>
      </c>
      <c r="C70" t="s">
        <v>95</v>
      </c>
      <c r="D70" t="s">
        <v>107</v>
      </c>
      <c r="E70" t="s">
        <v>111</v>
      </c>
      <c r="F70">
        <v>4</v>
      </c>
      <c r="G70">
        <v>17907</v>
      </c>
      <c r="H70">
        <v>71628</v>
      </c>
      <c r="I70" s="5">
        <f>DATEVALUE(order_data[[#This Row],[Date]])</f>
        <v>45759</v>
      </c>
    </row>
    <row r="71" spans="1:9" x14ac:dyDescent="0.25">
      <c r="A71">
        <v>1070</v>
      </c>
      <c r="B71" t="s">
        <v>67</v>
      </c>
      <c r="C71" t="s">
        <v>97</v>
      </c>
      <c r="D71" t="s">
        <v>106</v>
      </c>
      <c r="E71" t="s">
        <v>110</v>
      </c>
      <c r="F71">
        <v>8</v>
      </c>
      <c r="G71">
        <v>21220</v>
      </c>
      <c r="H71">
        <v>169760</v>
      </c>
      <c r="I71" s="5">
        <f>DATEVALUE(order_data[[#This Row],[Date]])</f>
        <v>45676</v>
      </c>
    </row>
    <row r="72" spans="1:9" x14ac:dyDescent="0.25">
      <c r="A72">
        <v>1071</v>
      </c>
      <c r="B72" t="s">
        <v>68</v>
      </c>
      <c r="C72" t="s">
        <v>97</v>
      </c>
      <c r="D72" t="s">
        <v>108</v>
      </c>
      <c r="E72" t="s">
        <v>110</v>
      </c>
      <c r="F72">
        <v>10</v>
      </c>
      <c r="G72">
        <v>37396</v>
      </c>
      <c r="H72">
        <v>373960</v>
      </c>
      <c r="I72" s="5">
        <f>DATEVALUE(order_data[[#This Row],[Date]])</f>
        <v>45683</v>
      </c>
    </row>
    <row r="73" spans="1:9" x14ac:dyDescent="0.25">
      <c r="A73">
        <v>1072</v>
      </c>
      <c r="B73" t="s">
        <v>52</v>
      </c>
      <c r="C73" t="s">
        <v>99</v>
      </c>
      <c r="D73" t="s">
        <v>103</v>
      </c>
      <c r="E73" t="s">
        <v>111</v>
      </c>
      <c r="F73">
        <v>9</v>
      </c>
      <c r="G73">
        <v>17880</v>
      </c>
      <c r="H73">
        <v>160920</v>
      </c>
      <c r="I73" s="5">
        <f>DATEVALUE(order_data[[#This Row],[Date]])</f>
        <v>45691</v>
      </c>
    </row>
    <row r="74" spans="1:9" x14ac:dyDescent="0.25">
      <c r="A74">
        <v>1073</v>
      </c>
      <c r="B74" t="s">
        <v>69</v>
      </c>
      <c r="C74" t="s">
        <v>95</v>
      </c>
      <c r="D74" t="s">
        <v>102</v>
      </c>
      <c r="E74" t="s">
        <v>110</v>
      </c>
      <c r="F74">
        <v>4</v>
      </c>
      <c r="G74">
        <v>24717</v>
      </c>
      <c r="H74">
        <v>98868</v>
      </c>
      <c r="I74" s="5">
        <f>DATEVALUE(order_data[[#This Row],[Date]])</f>
        <v>45730</v>
      </c>
    </row>
    <row r="75" spans="1:9" x14ac:dyDescent="0.25">
      <c r="A75">
        <v>1074</v>
      </c>
      <c r="B75" t="s">
        <v>70</v>
      </c>
      <c r="C75" t="s">
        <v>98</v>
      </c>
      <c r="D75" t="s">
        <v>108</v>
      </c>
      <c r="E75" t="s">
        <v>110</v>
      </c>
      <c r="F75">
        <v>9</v>
      </c>
      <c r="G75">
        <v>46607</v>
      </c>
      <c r="H75">
        <v>419463</v>
      </c>
      <c r="I75" s="5">
        <f>DATEVALUE(order_data[[#This Row],[Date]])</f>
        <v>45735</v>
      </c>
    </row>
    <row r="76" spans="1:9" x14ac:dyDescent="0.25">
      <c r="A76">
        <v>1075</v>
      </c>
      <c r="B76" t="s">
        <v>20</v>
      </c>
      <c r="C76" t="s">
        <v>97</v>
      </c>
      <c r="D76" t="s">
        <v>104</v>
      </c>
      <c r="E76" t="s">
        <v>111</v>
      </c>
      <c r="F76">
        <v>9</v>
      </c>
      <c r="G76">
        <v>20120</v>
      </c>
      <c r="H76">
        <v>181080</v>
      </c>
      <c r="I76" s="5">
        <f>DATEVALUE(order_data[[#This Row],[Date]])</f>
        <v>45827</v>
      </c>
    </row>
    <row r="77" spans="1:9" x14ac:dyDescent="0.25">
      <c r="A77">
        <v>1076</v>
      </c>
      <c r="B77" t="s">
        <v>71</v>
      </c>
      <c r="C77" t="s">
        <v>96</v>
      </c>
      <c r="D77" t="s">
        <v>109</v>
      </c>
      <c r="E77" t="s">
        <v>110</v>
      </c>
      <c r="F77">
        <v>5</v>
      </c>
      <c r="G77">
        <v>8064</v>
      </c>
      <c r="H77">
        <v>40320</v>
      </c>
      <c r="I77" s="5">
        <f>DATEVALUE(order_data[[#This Row],[Date]])</f>
        <v>45685</v>
      </c>
    </row>
    <row r="78" spans="1:9" x14ac:dyDescent="0.25">
      <c r="A78">
        <v>1077</v>
      </c>
      <c r="B78" t="s">
        <v>72</v>
      </c>
      <c r="C78" t="s">
        <v>95</v>
      </c>
      <c r="D78" t="s">
        <v>109</v>
      </c>
      <c r="E78" t="s">
        <v>110</v>
      </c>
      <c r="F78">
        <v>5</v>
      </c>
      <c r="G78">
        <v>18965</v>
      </c>
      <c r="H78">
        <v>94825</v>
      </c>
      <c r="I78" s="5">
        <f>DATEVALUE(order_data[[#This Row],[Date]])</f>
        <v>45812</v>
      </c>
    </row>
    <row r="79" spans="1:9" x14ac:dyDescent="0.25">
      <c r="A79">
        <v>1078</v>
      </c>
      <c r="B79" t="s">
        <v>24</v>
      </c>
      <c r="C79" t="s">
        <v>100</v>
      </c>
      <c r="D79" t="s">
        <v>107</v>
      </c>
      <c r="E79" t="s">
        <v>111</v>
      </c>
      <c r="F79">
        <v>4</v>
      </c>
      <c r="G79">
        <v>45555</v>
      </c>
      <c r="H79">
        <v>182220</v>
      </c>
      <c r="I79" s="5">
        <f>DATEVALUE(order_data[[#This Row],[Date]])</f>
        <v>45820</v>
      </c>
    </row>
    <row r="80" spans="1:9" x14ac:dyDescent="0.25">
      <c r="A80">
        <v>1079</v>
      </c>
      <c r="B80" t="s">
        <v>73</v>
      </c>
      <c r="C80" t="s">
        <v>100</v>
      </c>
      <c r="D80" t="s">
        <v>106</v>
      </c>
      <c r="E80" t="s">
        <v>110</v>
      </c>
      <c r="F80">
        <v>9</v>
      </c>
      <c r="G80">
        <v>32516</v>
      </c>
      <c r="H80">
        <v>292644</v>
      </c>
      <c r="I80" s="5">
        <f>DATEVALUE(order_data[[#This Row],[Date]])</f>
        <v>45722</v>
      </c>
    </row>
    <row r="81" spans="1:9" x14ac:dyDescent="0.25">
      <c r="A81">
        <v>1080</v>
      </c>
      <c r="B81" t="s">
        <v>14</v>
      </c>
      <c r="C81" t="s">
        <v>100</v>
      </c>
      <c r="D81" t="s">
        <v>104</v>
      </c>
      <c r="E81" t="s">
        <v>111</v>
      </c>
      <c r="F81">
        <v>2</v>
      </c>
      <c r="G81">
        <v>42068</v>
      </c>
      <c r="H81">
        <v>84136</v>
      </c>
      <c r="I81" s="5">
        <f>DATEVALUE(order_data[[#This Row],[Date]])</f>
        <v>45766</v>
      </c>
    </row>
    <row r="82" spans="1:9" x14ac:dyDescent="0.25">
      <c r="A82">
        <v>1081</v>
      </c>
      <c r="B82" t="s">
        <v>74</v>
      </c>
      <c r="C82" t="s">
        <v>100</v>
      </c>
      <c r="D82" t="s">
        <v>106</v>
      </c>
      <c r="E82" t="s">
        <v>110</v>
      </c>
      <c r="F82">
        <v>1</v>
      </c>
      <c r="G82">
        <v>732</v>
      </c>
      <c r="H82">
        <v>732</v>
      </c>
      <c r="I82" s="5">
        <f>DATEVALUE(order_data[[#This Row],[Date]])</f>
        <v>45743</v>
      </c>
    </row>
    <row r="83" spans="1:9" x14ac:dyDescent="0.25">
      <c r="A83">
        <v>1082</v>
      </c>
      <c r="B83" t="s">
        <v>75</v>
      </c>
      <c r="C83" t="s">
        <v>98</v>
      </c>
      <c r="D83" t="s">
        <v>109</v>
      </c>
      <c r="E83" t="s">
        <v>110</v>
      </c>
      <c r="F83">
        <v>5</v>
      </c>
      <c r="G83">
        <v>11089</v>
      </c>
      <c r="H83">
        <v>55445</v>
      </c>
      <c r="I83" s="5">
        <f>DATEVALUE(order_data[[#This Row],[Date]])</f>
        <v>45771</v>
      </c>
    </row>
    <row r="84" spans="1:9" x14ac:dyDescent="0.25">
      <c r="A84">
        <v>1083</v>
      </c>
      <c r="B84" t="s">
        <v>33</v>
      </c>
      <c r="C84" t="s">
        <v>97</v>
      </c>
      <c r="D84" t="s">
        <v>105</v>
      </c>
      <c r="E84" t="s">
        <v>111</v>
      </c>
      <c r="F84">
        <v>9</v>
      </c>
      <c r="G84">
        <v>1133</v>
      </c>
      <c r="H84">
        <v>10197</v>
      </c>
      <c r="I84" s="5">
        <f>DATEVALUE(order_data[[#This Row],[Date]])</f>
        <v>45686</v>
      </c>
    </row>
    <row r="85" spans="1:9" x14ac:dyDescent="0.25">
      <c r="A85">
        <v>1084</v>
      </c>
      <c r="B85" t="s">
        <v>76</v>
      </c>
      <c r="C85" t="s">
        <v>98</v>
      </c>
      <c r="D85" t="s">
        <v>109</v>
      </c>
      <c r="E85" t="s">
        <v>110</v>
      </c>
      <c r="F85">
        <v>9</v>
      </c>
      <c r="G85">
        <v>2861</v>
      </c>
      <c r="H85">
        <v>25749</v>
      </c>
      <c r="I85" s="5">
        <f>DATEVALUE(order_data[[#This Row],[Date]])</f>
        <v>45752</v>
      </c>
    </row>
    <row r="86" spans="1:9" x14ac:dyDescent="0.25">
      <c r="A86">
        <v>1085</v>
      </c>
      <c r="B86" t="s">
        <v>64</v>
      </c>
      <c r="C86" t="s">
        <v>99</v>
      </c>
      <c r="D86" t="s">
        <v>109</v>
      </c>
      <c r="E86" t="s">
        <v>110</v>
      </c>
      <c r="F86">
        <v>7</v>
      </c>
      <c r="G86">
        <v>8852</v>
      </c>
      <c r="H86">
        <v>61964</v>
      </c>
      <c r="I86" s="5">
        <f>DATEVALUE(order_data[[#This Row],[Date]])</f>
        <v>45668</v>
      </c>
    </row>
    <row r="87" spans="1:9" x14ac:dyDescent="0.25">
      <c r="A87">
        <v>1086</v>
      </c>
      <c r="B87" t="s">
        <v>16</v>
      </c>
      <c r="C87" t="s">
        <v>95</v>
      </c>
      <c r="D87" t="s">
        <v>107</v>
      </c>
      <c r="E87" t="s">
        <v>111</v>
      </c>
      <c r="F87">
        <v>1</v>
      </c>
      <c r="G87">
        <v>59411</v>
      </c>
      <c r="H87">
        <v>59411</v>
      </c>
      <c r="I87" s="5">
        <f>DATEVALUE(order_data[[#This Row],[Date]])</f>
        <v>45749</v>
      </c>
    </row>
    <row r="88" spans="1:9" x14ac:dyDescent="0.25">
      <c r="A88">
        <v>1087</v>
      </c>
      <c r="B88" t="s">
        <v>77</v>
      </c>
      <c r="C88" t="s">
        <v>100</v>
      </c>
      <c r="D88" t="s">
        <v>103</v>
      </c>
      <c r="E88" t="s">
        <v>111</v>
      </c>
      <c r="F88">
        <v>2</v>
      </c>
      <c r="G88">
        <v>23678</v>
      </c>
      <c r="H88">
        <v>47356</v>
      </c>
      <c r="I88" s="5">
        <f>DATEVALUE(order_data[[#This Row],[Date]])</f>
        <v>45801</v>
      </c>
    </row>
    <row r="89" spans="1:9" x14ac:dyDescent="0.25">
      <c r="A89">
        <v>1088</v>
      </c>
      <c r="B89" t="s">
        <v>78</v>
      </c>
      <c r="C89" t="s">
        <v>95</v>
      </c>
      <c r="D89" t="s">
        <v>105</v>
      </c>
      <c r="E89" t="s">
        <v>111</v>
      </c>
      <c r="F89">
        <v>10</v>
      </c>
      <c r="G89">
        <v>49617</v>
      </c>
      <c r="H89">
        <v>496170</v>
      </c>
      <c r="I89" s="5">
        <f>DATEVALUE(order_data[[#This Row],[Date]])</f>
        <v>45697</v>
      </c>
    </row>
    <row r="90" spans="1:9" x14ac:dyDescent="0.25">
      <c r="A90">
        <v>1089</v>
      </c>
      <c r="B90" t="s">
        <v>54</v>
      </c>
      <c r="C90" t="s">
        <v>97</v>
      </c>
      <c r="D90" t="s">
        <v>109</v>
      </c>
      <c r="E90" t="s">
        <v>110</v>
      </c>
      <c r="F90">
        <v>3</v>
      </c>
      <c r="G90">
        <v>58264</v>
      </c>
      <c r="H90">
        <v>174792</v>
      </c>
      <c r="I90" s="5">
        <f>DATEVALUE(order_data[[#This Row],[Date]])</f>
        <v>45763</v>
      </c>
    </row>
    <row r="91" spans="1:9" x14ac:dyDescent="0.25">
      <c r="A91">
        <v>1090</v>
      </c>
      <c r="B91" t="s">
        <v>54</v>
      </c>
      <c r="C91" t="s">
        <v>100</v>
      </c>
      <c r="D91" t="s">
        <v>109</v>
      </c>
      <c r="E91" t="s">
        <v>110</v>
      </c>
      <c r="F91">
        <v>6</v>
      </c>
      <c r="G91">
        <v>51774</v>
      </c>
      <c r="H91">
        <v>310644</v>
      </c>
      <c r="I91" s="5">
        <f>DATEVALUE(order_data[[#This Row],[Date]])</f>
        <v>45763</v>
      </c>
    </row>
    <row r="92" spans="1:9" x14ac:dyDescent="0.25">
      <c r="A92">
        <v>1091</v>
      </c>
      <c r="B92" t="s">
        <v>79</v>
      </c>
      <c r="C92" t="s">
        <v>97</v>
      </c>
      <c r="D92" t="s">
        <v>103</v>
      </c>
      <c r="E92" t="s">
        <v>111</v>
      </c>
      <c r="F92">
        <v>5</v>
      </c>
      <c r="G92">
        <v>10933</v>
      </c>
      <c r="H92">
        <v>54665</v>
      </c>
      <c r="I92" s="5">
        <f>DATEVALUE(order_data[[#This Row],[Date]])</f>
        <v>45837</v>
      </c>
    </row>
    <row r="93" spans="1:9" x14ac:dyDescent="0.25">
      <c r="A93">
        <v>1092</v>
      </c>
      <c r="B93" t="s">
        <v>80</v>
      </c>
      <c r="C93" t="s">
        <v>95</v>
      </c>
      <c r="D93" t="s">
        <v>105</v>
      </c>
      <c r="E93" t="s">
        <v>111</v>
      </c>
      <c r="F93">
        <v>1</v>
      </c>
      <c r="G93">
        <v>56768</v>
      </c>
      <c r="H93">
        <v>56768</v>
      </c>
      <c r="I93" s="5">
        <f>DATEVALUE(order_data[[#This Row],[Date]])</f>
        <v>45778</v>
      </c>
    </row>
    <row r="94" spans="1:9" x14ac:dyDescent="0.25">
      <c r="A94">
        <v>1093</v>
      </c>
      <c r="B94" t="s">
        <v>42</v>
      </c>
      <c r="C94" t="s">
        <v>100</v>
      </c>
      <c r="D94" t="s">
        <v>103</v>
      </c>
      <c r="E94" t="s">
        <v>111</v>
      </c>
      <c r="F94">
        <v>8</v>
      </c>
      <c r="G94">
        <v>23415</v>
      </c>
      <c r="H94">
        <v>187320</v>
      </c>
      <c r="I94" s="5">
        <f>DATEVALUE(order_data[[#This Row],[Date]])</f>
        <v>45736</v>
      </c>
    </row>
    <row r="95" spans="1:9" x14ac:dyDescent="0.25">
      <c r="A95">
        <v>1094</v>
      </c>
      <c r="B95" t="s">
        <v>81</v>
      </c>
      <c r="C95" t="s">
        <v>95</v>
      </c>
      <c r="D95" t="s">
        <v>103</v>
      </c>
      <c r="E95" t="s">
        <v>111</v>
      </c>
      <c r="F95">
        <v>4</v>
      </c>
      <c r="G95">
        <v>2050</v>
      </c>
      <c r="H95">
        <v>8200</v>
      </c>
      <c r="I95" s="5">
        <f>DATEVALUE(order_data[[#This Row],[Date]])</f>
        <v>45826</v>
      </c>
    </row>
    <row r="96" spans="1:9" x14ac:dyDescent="0.25">
      <c r="A96">
        <v>1095</v>
      </c>
      <c r="B96" t="s">
        <v>44</v>
      </c>
      <c r="C96" t="s">
        <v>100</v>
      </c>
      <c r="D96" t="s">
        <v>105</v>
      </c>
      <c r="E96" t="s">
        <v>111</v>
      </c>
      <c r="F96">
        <v>6</v>
      </c>
      <c r="G96">
        <v>18758</v>
      </c>
      <c r="H96">
        <v>112548</v>
      </c>
      <c r="I96" s="5">
        <f>DATEVALUE(order_data[[#This Row],[Date]])</f>
        <v>45675</v>
      </c>
    </row>
    <row r="97" spans="1:9" x14ac:dyDescent="0.25">
      <c r="A97">
        <v>1096</v>
      </c>
      <c r="B97" t="s">
        <v>32</v>
      </c>
      <c r="C97" t="s">
        <v>101</v>
      </c>
      <c r="D97" t="s">
        <v>106</v>
      </c>
      <c r="E97" t="s">
        <v>110</v>
      </c>
      <c r="F97">
        <v>6</v>
      </c>
      <c r="G97">
        <v>42540</v>
      </c>
      <c r="H97">
        <v>255240</v>
      </c>
      <c r="I97" s="5">
        <f>DATEVALUE(order_data[[#This Row],[Date]])</f>
        <v>45788</v>
      </c>
    </row>
    <row r="98" spans="1:9" x14ac:dyDescent="0.25">
      <c r="A98">
        <v>1097</v>
      </c>
      <c r="B98" t="s">
        <v>82</v>
      </c>
      <c r="C98" t="s">
        <v>95</v>
      </c>
      <c r="D98" t="s">
        <v>107</v>
      </c>
      <c r="E98" t="s">
        <v>111</v>
      </c>
      <c r="F98">
        <v>1</v>
      </c>
      <c r="G98">
        <v>8059</v>
      </c>
      <c r="H98">
        <v>8059</v>
      </c>
      <c r="I98" s="5">
        <f>DATEVALUE(order_data[[#This Row],[Date]])</f>
        <v>45724</v>
      </c>
    </row>
    <row r="99" spans="1:9" x14ac:dyDescent="0.25">
      <c r="A99">
        <v>1098</v>
      </c>
      <c r="B99" t="s">
        <v>83</v>
      </c>
      <c r="C99" t="s">
        <v>101</v>
      </c>
      <c r="D99" t="s">
        <v>106</v>
      </c>
      <c r="E99" t="s">
        <v>110</v>
      </c>
      <c r="F99">
        <v>1</v>
      </c>
      <c r="G99">
        <v>7604</v>
      </c>
      <c r="H99">
        <v>7604</v>
      </c>
      <c r="I99" s="5">
        <f>DATEVALUE(order_data[[#This Row],[Date]])</f>
        <v>45810</v>
      </c>
    </row>
    <row r="100" spans="1:9" x14ac:dyDescent="0.25">
      <c r="A100">
        <v>1099</v>
      </c>
      <c r="B100" t="s">
        <v>46</v>
      </c>
      <c r="C100" t="s">
        <v>98</v>
      </c>
      <c r="D100" t="s">
        <v>107</v>
      </c>
      <c r="E100" t="s">
        <v>111</v>
      </c>
      <c r="F100">
        <v>6</v>
      </c>
      <c r="G100">
        <v>29099</v>
      </c>
      <c r="H100">
        <v>174594</v>
      </c>
      <c r="I100" s="5">
        <f>DATEVALUE(order_data[[#This Row],[Date]])</f>
        <v>45813</v>
      </c>
    </row>
    <row r="101" spans="1:9" x14ac:dyDescent="0.25">
      <c r="A101">
        <v>1100</v>
      </c>
      <c r="B101" t="s">
        <v>84</v>
      </c>
      <c r="C101" t="s">
        <v>95</v>
      </c>
      <c r="D101" t="s">
        <v>102</v>
      </c>
      <c r="E101" t="s">
        <v>110</v>
      </c>
      <c r="F101">
        <v>7</v>
      </c>
      <c r="G101">
        <v>59449</v>
      </c>
      <c r="H101">
        <v>416143</v>
      </c>
      <c r="I101" s="5">
        <f>DATEVALUE(order_data[[#This Row],[Date]])</f>
        <v>45805</v>
      </c>
    </row>
    <row r="102" spans="1:9" x14ac:dyDescent="0.25">
      <c r="A102">
        <v>1101</v>
      </c>
      <c r="B102" t="s">
        <v>85</v>
      </c>
      <c r="C102" t="s">
        <v>97</v>
      </c>
      <c r="D102" t="s">
        <v>106</v>
      </c>
      <c r="E102" t="s">
        <v>110</v>
      </c>
      <c r="F102">
        <v>1</v>
      </c>
      <c r="G102">
        <v>46950</v>
      </c>
      <c r="H102">
        <v>46950</v>
      </c>
      <c r="I102" s="5">
        <f>DATEVALUE(order_data[[#This Row],[Date]])</f>
        <v>45769</v>
      </c>
    </row>
    <row r="103" spans="1:9" x14ac:dyDescent="0.25">
      <c r="A103">
        <v>1102</v>
      </c>
      <c r="B103" t="s">
        <v>44</v>
      </c>
      <c r="C103" t="s">
        <v>96</v>
      </c>
      <c r="D103" t="s">
        <v>103</v>
      </c>
      <c r="E103" t="s">
        <v>111</v>
      </c>
      <c r="F103">
        <v>6</v>
      </c>
      <c r="G103">
        <v>28765</v>
      </c>
      <c r="H103">
        <v>172590</v>
      </c>
      <c r="I103" s="5">
        <f>DATEVALUE(order_data[[#This Row],[Date]])</f>
        <v>45675</v>
      </c>
    </row>
    <row r="104" spans="1:9" x14ac:dyDescent="0.25">
      <c r="A104">
        <v>1103</v>
      </c>
      <c r="B104" t="s">
        <v>20</v>
      </c>
      <c r="C104" t="s">
        <v>100</v>
      </c>
      <c r="D104" t="s">
        <v>107</v>
      </c>
      <c r="E104" t="s">
        <v>111</v>
      </c>
      <c r="F104">
        <v>10</v>
      </c>
      <c r="G104">
        <v>21072</v>
      </c>
      <c r="H104">
        <v>210720</v>
      </c>
      <c r="I104" s="5">
        <f>DATEVALUE(order_data[[#This Row],[Date]])</f>
        <v>45827</v>
      </c>
    </row>
    <row r="105" spans="1:9" x14ac:dyDescent="0.25">
      <c r="A105">
        <v>1104</v>
      </c>
      <c r="B105" t="s">
        <v>86</v>
      </c>
      <c r="C105" t="s">
        <v>96</v>
      </c>
      <c r="D105" t="s">
        <v>102</v>
      </c>
      <c r="E105" t="s">
        <v>110</v>
      </c>
      <c r="F105">
        <v>5</v>
      </c>
      <c r="G105">
        <v>33734</v>
      </c>
      <c r="H105">
        <v>168670</v>
      </c>
      <c r="I105" s="5">
        <f>DATEVALUE(order_data[[#This Row],[Date]])</f>
        <v>45737</v>
      </c>
    </row>
    <row r="106" spans="1:9" x14ac:dyDescent="0.25">
      <c r="A106">
        <v>1105</v>
      </c>
      <c r="B106" t="s">
        <v>87</v>
      </c>
      <c r="C106" t="s">
        <v>99</v>
      </c>
      <c r="D106" t="s">
        <v>105</v>
      </c>
      <c r="E106" t="s">
        <v>111</v>
      </c>
      <c r="F106">
        <v>6</v>
      </c>
      <c r="G106">
        <v>26871</v>
      </c>
      <c r="H106">
        <v>161226</v>
      </c>
      <c r="I106" s="5">
        <f>DATEVALUE(order_data[[#This Row],[Date]])</f>
        <v>45836</v>
      </c>
    </row>
    <row r="107" spans="1:9" x14ac:dyDescent="0.25">
      <c r="A107">
        <v>1106</v>
      </c>
      <c r="B107" t="s">
        <v>88</v>
      </c>
      <c r="C107" t="s">
        <v>101</v>
      </c>
      <c r="D107" t="s">
        <v>109</v>
      </c>
      <c r="E107" t="s">
        <v>110</v>
      </c>
      <c r="F107">
        <v>4</v>
      </c>
      <c r="G107">
        <v>28054</v>
      </c>
      <c r="H107">
        <v>112216</v>
      </c>
      <c r="I107" s="5">
        <f>DATEVALUE(order_data[[#This Row],[Date]])</f>
        <v>45828</v>
      </c>
    </row>
    <row r="108" spans="1:9" x14ac:dyDescent="0.25">
      <c r="A108">
        <v>1107</v>
      </c>
      <c r="B108" t="s">
        <v>70</v>
      </c>
      <c r="C108" t="s">
        <v>101</v>
      </c>
      <c r="D108" t="s">
        <v>109</v>
      </c>
      <c r="E108" t="s">
        <v>110</v>
      </c>
      <c r="F108">
        <v>10</v>
      </c>
      <c r="G108">
        <v>37796</v>
      </c>
      <c r="H108">
        <v>377960</v>
      </c>
      <c r="I108" s="5">
        <f>DATEVALUE(order_data[[#This Row],[Date]])</f>
        <v>45735</v>
      </c>
    </row>
    <row r="109" spans="1:9" x14ac:dyDescent="0.25">
      <c r="A109">
        <v>1108</v>
      </c>
      <c r="B109" t="s">
        <v>89</v>
      </c>
      <c r="C109" t="s">
        <v>101</v>
      </c>
      <c r="D109" t="s">
        <v>104</v>
      </c>
      <c r="E109" t="s">
        <v>111</v>
      </c>
      <c r="F109">
        <v>5</v>
      </c>
      <c r="G109">
        <v>19303</v>
      </c>
      <c r="H109">
        <v>96515</v>
      </c>
      <c r="I109" s="5">
        <f>DATEVALUE(order_data[[#This Row],[Date]])</f>
        <v>45711</v>
      </c>
    </row>
    <row r="110" spans="1:9" x14ac:dyDescent="0.25">
      <c r="A110">
        <v>1109</v>
      </c>
      <c r="B110" t="s">
        <v>75</v>
      </c>
      <c r="C110" t="s">
        <v>96</v>
      </c>
      <c r="D110" t="s">
        <v>107</v>
      </c>
      <c r="E110" t="s">
        <v>111</v>
      </c>
      <c r="F110">
        <v>8</v>
      </c>
      <c r="G110">
        <v>29452</v>
      </c>
      <c r="H110">
        <v>235616</v>
      </c>
      <c r="I110" s="5">
        <f>DATEVALUE(order_data[[#This Row],[Date]])</f>
        <v>45771</v>
      </c>
    </row>
    <row r="111" spans="1:9" x14ac:dyDescent="0.25">
      <c r="A111">
        <v>1110</v>
      </c>
      <c r="B111" t="s">
        <v>90</v>
      </c>
      <c r="C111" t="s">
        <v>96</v>
      </c>
      <c r="D111" t="s">
        <v>103</v>
      </c>
      <c r="E111" t="s">
        <v>111</v>
      </c>
      <c r="F111">
        <v>9</v>
      </c>
      <c r="G111">
        <v>31510</v>
      </c>
      <c r="H111">
        <v>283590</v>
      </c>
      <c r="I111" s="5">
        <f>DATEVALUE(order_data[[#This Row],[Date]])</f>
        <v>45701</v>
      </c>
    </row>
    <row r="112" spans="1:9" x14ac:dyDescent="0.25">
      <c r="A112">
        <v>1111</v>
      </c>
      <c r="B112" t="s">
        <v>20</v>
      </c>
      <c r="C112" t="s">
        <v>96</v>
      </c>
      <c r="D112" t="s">
        <v>102</v>
      </c>
      <c r="E112" t="s">
        <v>110</v>
      </c>
      <c r="F112">
        <v>5</v>
      </c>
      <c r="G112">
        <v>34280</v>
      </c>
      <c r="H112">
        <v>171400</v>
      </c>
      <c r="I112" s="5">
        <f>DATEVALUE(order_data[[#This Row],[Date]])</f>
        <v>45827</v>
      </c>
    </row>
    <row r="113" spans="1:9" x14ac:dyDescent="0.25">
      <c r="A113">
        <v>1112</v>
      </c>
      <c r="B113" t="s">
        <v>51</v>
      </c>
      <c r="C113" t="s">
        <v>96</v>
      </c>
      <c r="D113" t="s">
        <v>107</v>
      </c>
      <c r="E113" t="s">
        <v>111</v>
      </c>
      <c r="F113">
        <v>2</v>
      </c>
      <c r="G113">
        <v>54136</v>
      </c>
      <c r="H113">
        <v>108272</v>
      </c>
      <c r="I113" s="5">
        <f>DATEVALUE(order_data[[#This Row],[Date]])</f>
        <v>45718</v>
      </c>
    </row>
    <row r="114" spans="1:9" x14ac:dyDescent="0.25">
      <c r="A114">
        <v>1113</v>
      </c>
      <c r="B114" t="s">
        <v>91</v>
      </c>
      <c r="C114" t="s">
        <v>95</v>
      </c>
      <c r="D114" t="s">
        <v>106</v>
      </c>
      <c r="E114" t="s">
        <v>110</v>
      </c>
      <c r="F114">
        <v>4</v>
      </c>
      <c r="G114">
        <v>53358</v>
      </c>
      <c r="H114">
        <v>213432</v>
      </c>
      <c r="I114" s="5">
        <f>DATEVALUE(order_data[[#This Row],[Date]])</f>
        <v>45708</v>
      </c>
    </row>
    <row r="115" spans="1:9" x14ac:dyDescent="0.25">
      <c r="A115">
        <v>1114</v>
      </c>
      <c r="B115" t="s">
        <v>45</v>
      </c>
      <c r="C115" t="s">
        <v>98</v>
      </c>
      <c r="D115" t="s">
        <v>104</v>
      </c>
      <c r="E115" t="s">
        <v>111</v>
      </c>
      <c r="F115">
        <v>1</v>
      </c>
      <c r="G115">
        <v>16546</v>
      </c>
      <c r="H115">
        <v>16546</v>
      </c>
      <c r="I115" s="5">
        <f>DATEVALUE(order_data[[#This Row],[Date]])</f>
        <v>45779</v>
      </c>
    </row>
    <row r="116" spans="1:9" x14ac:dyDescent="0.25">
      <c r="A116">
        <v>1115</v>
      </c>
      <c r="B116" t="s">
        <v>92</v>
      </c>
      <c r="C116" t="s">
        <v>98</v>
      </c>
      <c r="D116" t="s">
        <v>102</v>
      </c>
      <c r="E116" t="s">
        <v>110</v>
      </c>
      <c r="F116">
        <v>8</v>
      </c>
      <c r="G116">
        <v>27660</v>
      </c>
      <c r="H116">
        <v>221280</v>
      </c>
      <c r="I116" s="5">
        <f>DATEVALUE(order_data[[#This Row],[Date]])</f>
        <v>45819</v>
      </c>
    </row>
    <row r="117" spans="1:9" x14ac:dyDescent="0.25">
      <c r="A117">
        <v>1116</v>
      </c>
      <c r="B117" t="s">
        <v>93</v>
      </c>
      <c r="C117" t="s">
        <v>95</v>
      </c>
      <c r="D117" t="s">
        <v>103</v>
      </c>
      <c r="E117" t="s">
        <v>111</v>
      </c>
      <c r="F117">
        <v>7</v>
      </c>
      <c r="G117">
        <v>32899</v>
      </c>
      <c r="H117">
        <v>230293</v>
      </c>
      <c r="I117" s="5">
        <f>DATEVALUE(order_data[[#This Row],[Date]])</f>
        <v>45760</v>
      </c>
    </row>
    <row r="118" spans="1:9" x14ac:dyDescent="0.25">
      <c r="A118">
        <v>1117</v>
      </c>
      <c r="B118" t="s">
        <v>71</v>
      </c>
      <c r="C118" t="s">
        <v>100</v>
      </c>
      <c r="D118" t="s">
        <v>109</v>
      </c>
      <c r="E118" t="s">
        <v>110</v>
      </c>
      <c r="F118">
        <v>1</v>
      </c>
      <c r="G118">
        <v>59001</v>
      </c>
      <c r="H118">
        <v>59001</v>
      </c>
      <c r="I118" s="5">
        <f>DATEVALUE(order_data[[#This Row],[Date]])</f>
        <v>45685</v>
      </c>
    </row>
    <row r="119" spans="1:9" x14ac:dyDescent="0.25">
      <c r="A119">
        <v>1118</v>
      </c>
      <c r="B119" t="s">
        <v>87</v>
      </c>
      <c r="C119" t="s">
        <v>98</v>
      </c>
      <c r="D119" t="s">
        <v>105</v>
      </c>
      <c r="E119" t="s">
        <v>111</v>
      </c>
      <c r="F119">
        <v>4</v>
      </c>
      <c r="G119">
        <v>12026</v>
      </c>
      <c r="H119">
        <v>48104</v>
      </c>
      <c r="I119" s="5">
        <f>DATEVALUE(order_data[[#This Row],[Date]])</f>
        <v>45836</v>
      </c>
    </row>
    <row r="120" spans="1:9" x14ac:dyDescent="0.25">
      <c r="A120">
        <v>1119</v>
      </c>
      <c r="B120" t="s">
        <v>30</v>
      </c>
      <c r="C120" t="s">
        <v>100</v>
      </c>
      <c r="D120" t="s">
        <v>108</v>
      </c>
      <c r="E120" t="s">
        <v>110</v>
      </c>
      <c r="F120">
        <v>1</v>
      </c>
      <c r="G120">
        <v>37030</v>
      </c>
      <c r="H120">
        <v>37030</v>
      </c>
      <c r="I120" s="5">
        <f>DATEVALUE(order_data[[#This Row],[Date]])</f>
        <v>45721</v>
      </c>
    </row>
    <row r="121" spans="1:9" x14ac:dyDescent="0.25">
      <c r="A121">
        <v>1120</v>
      </c>
      <c r="B121" t="s">
        <v>94</v>
      </c>
      <c r="C121" t="s">
        <v>96</v>
      </c>
      <c r="D121" t="s">
        <v>102</v>
      </c>
      <c r="E121" t="s">
        <v>110</v>
      </c>
      <c r="F121">
        <v>8</v>
      </c>
      <c r="G121">
        <v>9238</v>
      </c>
      <c r="H121">
        <v>73904</v>
      </c>
      <c r="I121" s="5">
        <f>DATEVALUE(order_data[[#This Row],[Date]])</f>
        <v>45776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13073-98B5-42A1-B82C-0A34C2388002}">
  <dimension ref="A5:Q37"/>
  <sheetViews>
    <sheetView workbookViewId="0">
      <selection activeCell="M6" sqref="M6"/>
    </sheetView>
  </sheetViews>
  <sheetFormatPr defaultRowHeight="15" x14ac:dyDescent="0.25"/>
  <cols>
    <col min="1" max="1" width="11.28515625" bestFit="1" customWidth="1"/>
    <col min="2" max="2" width="17.28515625" bestFit="1" customWidth="1"/>
    <col min="3" max="3" width="17.28515625" customWidth="1"/>
    <col min="4" max="4" width="17.85546875" bestFit="1" customWidth="1"/>
    <col min="5" max="5" width="11.28515625" bestFit="1" customWidth="1"/>
    <col min="6" max="6" width="17.85546875" bestFit="1" customWidth="1"/>
    <col min="9" max="9" width="11.28515625" bestFit="1" customWidth="1"/>
    <col min="10" max="10" width="6.140625" bestFit="1" customWidth="1"/>
    <col min="11" max="11" width="15.7109375" bestFit="1" customWidth="1"/>
    <col min="13" max="13" width="18.5703125" bestFit="1" customWidth="1"/>
    <col min="14" max="14" width="17.85546875" bestFit="1" customWidth="1"/>
    <col min="17" max="17" width="11.28515625" bestFit="1" customWidth="1"/>
    <col min="18" max="19" width="15.7109375" bestFit="1" customWidth="1"/>
  </cols>
  <sheetData>
    <row r="5" spans="1:17" x14ac:dyDescent="0.25">
      <c r="A5" s="2" t="s">
        <v>2</v>
      </c>
      <c r="B5" t="s">
        <v>113</v>
      </c>
      <c r="E5" s="2" t="s">
        <v>3</v>
      </c>
      <c r="F5" t="s">
        <v>113</v>
      </c>
      <c r="I5" s="2" t="s">
        <v>4</v>
      </c>
      <c r="J5" t="s">
        <v>127</v>
      </c>
      <c r="M5" t="s">
        <v>123</v>
      </c>
      <c r="Q5" t="s">
        <v>122</v>
      </c>
    </row>
    <row r="6" spans="1:17" x14ac:dyDescent="0.25">
      <c r="A6" s="3" t="s">
        <v>99</v>
      </c>
      <c r="B6" s="4">
        <v>1837891</v>
      </c>
      <c r="C6" s="4"/>
      <c r="E6" s="3" t="s">
        <v>106</v>
      </c>
      <c r="F6" s="4">
        <v>2453683</v>
      </c>
      <c r="I6" s="3" t="s">
        <v>110</v>
      </c>
      <c r="J6" s="4">
        <v>10250572</v>
      </c>
      <c r="M6" s="9">
        <v>19235690</v>
      </c>
      <c r="Q6" s="4">
        <v>120</v>
      </c>
    </row>
    <row r="7" spans="1:17" x14ac:dyDescent="0.25">
      <c r="A7" s="3" t="s">
        <v>98</v>
      </c>
      <c r="B7" s="4">
        <v>2773522</v>
      </c>
      <c r="C7" s="4"/>
      <c r="E7" s="3" t="s">
        <v>109</v>
      </c>
      <c r="F7" s="4">
        <v>2017837</v>
      </c>
      <c r="I7" s="3" t="s">
        <v>111</v>
      </c>
      <c r="J7" s="4">
        <v>8985118</v>
      </c>
    </row>
    <row r="8" spans="1:17" x14ac:dyDescent="0.25">
      <c r="A8" s="3" t="s">
        <v>97</v>
      </c>
      <c r="B8" s="4">
        <v>2237557</v>
      </c>
      <c r="C8" s="4"/>
      <c r="E8" s="3" t="s">
        <v>104</v>
      </c>
      <c r="F8" s="4">
        <v>1545109</v>
      </c>
      <c r="I8" s="3" t="s">
        <v>112</v>
      </c>
      <c r="J8" s="4">
        <v>19235690</v>
      </c>
    </row>
    <row r="9" spans="1:17" x14ac:dyDescent="0.25">
      <c r="A9" s="3" t="s">
        <v>101</v>
      </c>
      <c r="B9" s="4">
        <v>2483072</v>
      </c>
      <c r="C9" s="4"/>
      <c r="E9" s="3" t="s">
        <v>103</v>
      </c>
      <c r="F9" s="4">
        <v>3492441</v>
      </c>
    </row>
    <row r="10" spans="1:17" x14ac:dyDescent="0.25">
      <c r="A10" s="3" t="s">
        <v>100</v>
      </c>
      <c r="B10" s="4">
        <v>2734455</v>
      </c>
      <c r="C10" s="4"/>
      <c r="E10" s="3" t="s">
        <v>102</v>
      </c>
      <c r="F10" s="4">
        <v>3016174</v>
      </c>
    </row>
    <row r="11" spans="1:17" x14ac:dyDescent="0.25">
      <c r="A11" s="3" t="s">
        <v>95</v>
      </c>
      <c r="B11" s="4">
        <v>5040684</v>
      </c>
      <c r="C11" s="4"/>
      <c r="E11" s="3" t="s">
        <v>105</v>
      </c>
      <c r="F11" s="4">
        <v>2434748</v>
      </c>
      <c r="M11" t="s">
        <v>128</v>
      </c>
    </row>
    <row r="12" spans="1:17" x14ac:dyDescent="0.25">
      <c r="A12" s="3" t="s">
        <v>96</v>
      </c>
      <c r="B12" s="4">
        <v>2128509</v>
      </c>
      <c r="C12" s="4"/>
      <c r="E12" s="3" t="s">
        <v>107</v>
      </c>
      <c r="F12" s="4">
        <v>1512820</v>
      </c>
      <c r="M12" s="6">
        <v>160297.41666666666</v>
      </c>
    </row>
    <row r="13" spans="1:17" x14ac:dyDescent="0.25">
      <c r="A13" s="3" t="s">
        <v>112</v>
      </c>
      <c r="B13" s="4">
        <v>19235690</v>
      </c>
      <c r="C13" s="4"/>
      <c r="E13" s="3" t="s">
        <v>108</v>
      </c>
      <c r="F13" s="4">
        <v>2762878</v>
      </c>
    </row>
    <row r="14" spans="1:17" x14ac:dyDescent="0.25">
      <c r="E14" s="3" t="s">
        <v>112</v>
      </c>
      <c r="F14" s="4">
        <v>19235690</v>
      </c>
    </row>
    <row r="17" spans="1:13" x14ac:dyDescent="0.25">
      <c r="A17" s="2" t="s">
        <v>2</v>
      </c>
      <c r="B17" t="s">
        <v>114</v>
      </c>
      <c r="E17" s="2" t="s">
        <v>125</v>
      </c>
      <c r="F17" t="s">
        <v>113</v>
      </c>
      <c r="I17" s="2" t="s">
        <v>125</v>
      </c>
      <c r="J17" t="s">
        <v>126</v>
      </c>
      <c r="M17" t="s">
        <v>124</v>
      </c>
    </row>
    <row r="18" spans="1:13" x14ac:dyDescent="0.25">
      <c r="A18" s="3" t="s">
        <v>99</v>
      </c>
      <c r="B18" s="4">
        <v>12</v>
      </c>
      <c r="C18" s="4"/>
      <c r="E18" s="3" t="s">
        <v>116</v>
      </c>
      <c r="F18" s="4">
        <v>4051607</v>
      </c>
      <c r="I18" s="3" t="s">
        <v>116</v>
      </c>
      <c r="J18" s="4">
        <v>25</v>
      </c>
      <c r="M18" s="4">
        <v>656</v>
      </c>
    </row>
    <row r="19" spans="1:13" x14ac:dyDescent="0.25">
      <c r="A19" s="3" t="s">
        <v>98</v>
      </c>
      <c r="B19" s="4">
        <v>18</v>
      </c>
      <c r="C19" s="4"/>
      <c r="E19" s="3" t="s">
        <v>117</v>
      </c>
      <c r="F19" s="4">
        <v>1895147</v>
      </c>
      <c r="I19" s="3" t="s">
        <v>117</v>
      </c>
      <c r="J19" s="4">
        <v>11</v>
      </c>
    </row>
    <row r="20" spans="1:13" x14ac:dyDescent="0.25">
      <c r="A20" s="3" t="s">
        <v>97</v>
      </c>
      <c r="B20" s="4">
        <v>16</v>
      </c>
      <c r="C20" s="4"/>
      <c r="E20" s="3" t="s">
        <v>118</v>
      </c>
      <c r="F20" s="4">
        <v>3262612</v>
      </c>
      <c r="I20" s="3" t="s">
        <v>118</v>
      </c>
      <c r="J20" s="4">
        <v>21</v>
      </c>
    </row>
    <row r="21" spans="1:13" x14ac:dyDescent="0.25">
      <c r="A21" s="3" t="s">
        <v>101</v>
      </c>
      <c r="B21" s="4">
        <v>13</v>
      </c>
      <c r="C21" s="4"/>
      <c r="E21" s="3" t="s">
        <v>119</v>
      </c>
      <c r="F21" s="4">
        <v>2965481</v>
      </c>
      <c r="I21" s="3" t="s">
        <v>119</v>
      </c>
      <c r="J21" s="4">
        <v>22</v>
      </c>
    </row>
    <row r="22" spans="1:13" x14ac:dyDescent="0.25">
      <c r="A22" s="3" t="s">
        <v>100</v>
      </c>
      <c r="B22" s="4">
        <v>19</v>
      </c>
      <c r="C22" s="4"/>
      <c r="E22" s="3" t="s">
        <v>120</v>
      </c>
      <c r="F22" s="4">
        <v>3740040</v>
      </c>
      <c r="I22" s="3" t="s">
        <v>120</v>
      </c>
      <c r="J22" s="4">
        <v>19</v>
      </c>
    </row>
    <row r="23" spans="1:13" x14ac:dyDescent="0.25">
      <c r="A23" s="3" t="s">
        <v>95</v>
      </c>
      <c r="B23" s="4">
        <v>25</v>
      </c>
      <c r="C23" s="4"/>
      <c r="E23" s="3" t="s">
        <v>121</v>
      </c>
      <c r="F23" s="4">
        <v>3320803</v>
      </c>
      <c r="I23" s="3" t="s">
        <v>121</v>
      </c>
      <c r="J23" s="4">
        <v>22</v>
      </c>
    </row>
    <row r="24" spans="1:13" x14ac:dyDescent="0.25">
      <c r="A24" s="3" t="s">
        <v>96</v>
      </c>
      <c r="B24" s="4">
        <v>17</v>
      </c>
      <c r="C24" s="4"/>
      <c r="E24" s="3" t="s">
        <v>112</v>
      </c>
      <c r="F24" s="4">
        <v>19235690</v>
      </c>
      <c r="I24" s="3" t="s">
        <v>112</v>
      </c>
      <c r="J24" s="4">
        <v>120</v>
      </c>
    </row>
    <row r="25" spans="1:13" x14ac:dyDescent="0.25">
      <c r="A25" s="3" t="s">
        <v>112</v>
      </c>
      <c r="B25" s="4">
        <v>120</v>
      </c>
      <c r="C25" s="4"/>
    </row>
    <row r="30" spans="1:13" x14ac:dyDescent="0.25">
      <c r="C30" s="4"/>
    </row>
    <row r="31" spans="1:13" x14ac:dyDescent="0.25">
      <c r="C31" s="4"/>
    </row>
    <row r="32" spans="1:13" x14ac:dyDescent="0.25">
      <c r="C32" s="4"/>
    </row>
    <row r="33" spans="3:3" x14ac:dyDescent="0.25">
      <c r="C33" s="4"/>
    </row>
    <row r="34" spans="3:3" x14ac:dyDescent="0.25">
      <c r="C34" s="4"/>
    </row>
    <row r="35" spans="3:3" x14ac:dyDescent="0.25">
      <c r="C35" s="4"/>
    </row>
    <row r="36" spans="3:3" x14ac:dyDescent="0.25">
      <c r="C36" s="4"/>
    </row>
    <row r="37" spans="3:3" x14ac:dyDescent="0.25">
      <c r="C37"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BDE22-56EA-4312-8242-67374FA4A75B}">
  <dimension ref="C1:M7"/>
  <sheetViews>
    <sheetView showGridLines="0" showRowColHeaders="0" tabSelected="1" view="pageBreakPreview" topLeftCell="A2" zoomScale="60" zoomScaleNormal="80" workbookViewId="0">
      <selection activeCell="AR84" sqref="AR84"/>
    </sheetView>
  </sheetViews>
  <sheetFormatPr defaultRowHeight="15" x14ac:dyDescent="0.25"/>
  <cols>
    <col min="3" max="3" width="17.85546875" bestFit="1" customWidth="1"/>
    <col min="6" max="6" width="9.5703125" bestFit="1" customWidth="1"/>
    <col min="10" max="10" width="12.7109375" bestFit="1" customWidth="1"/>
    <col min="13" max="13" width="20.5703125" bestFit="1" customWidth="1"/>
  </cols>
  <sheetData>
    <row r="1" spans="3:13" hidden="1" x14ac:dyDescent="0.25"/>
    <row r="7" spans="3:13" ht="33.75" x14ac:dyDescent="0.5">
      <c r="C7" s="10">
        <f>GETPIVOTDATA("Total_Sales",Pivot_Sheet!$M$5)</f>
        <v>19235690</v>
      </c>
      <c r="F7" s="7">
        <f>GETPIVOTDATA("Quantity",Pivot_Sheet!$M$17)</f>
        <v>656</v>
      </c>
      <c r="J7" s="7">
        <f>GETPIVOTDATA("Order_ID",Pivot_Sheet!$Q$5)</f>
        <v>120</v>
      </c>
      <c r="M7" s="8">
        <f>GETPIVOTDATA("Total_Sales",Pivot_Sheet!$M$11)</f>
        <v>160297.41666666666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Pivot_Sheet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varshney</dc:creator>
  <cp:lastModifiedBy>Aditi varshney</cp:lastModifiedBy>
  <dcterms:created xsi:type="dcterms:W3CDTF">2026-03-31T14:14:22Z</dcterms:created>
  <dcterms:modified xsi:type="dcterms:W3CDTF">2026-04-01T09:40:26Z</dcterms:modified>
</cp:coreProperties>
</file>